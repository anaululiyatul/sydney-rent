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tion Overview" sheetId="1" state="visible" r:id="rId1"/>
    <sheet xmlns:r="http://schemas.openxmlformats.org/officeDocument/2006/relationships" name="Rent Ranges" sheetId="2" state="visible" r:id="rId2"/>
    <sheet xmlns:r="http://schemas.openxmlformats.org/officeDocument/2006/relationships" name="Hospital Guide" sheetId="3" state="visible" r:id="rId3"/>
    <sheet xmlns:r="http://schemas.openxmlformats.org/officeDocument/2006/relationships" name="Move Comparison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Hospital to Metro (Driving)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CC000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228B22"/>
      <sz val="10"/>
    </font>
    <font>
      <name val="Arial"/>
      <b val="1"/>
      <color rgb="00CC0000"/>
      <sz val="10"/>
    </font>
    <font>
      <name val="Arial"/>
      <b val="1"/>
      <color rgb="00CC0000"/>
      <sz val="11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F5E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5" borderId="2" applyAlignment="1" pivotButton="0" quotePrefix="0" xfId="0">
      <alignment horizontal="center" wrapText="1"/>
    </xf>
    <xf numFmtId="0" fontId="12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14" fillId="6" borderId="2" applyAlignment="1" pivotButton="0" quotePrefix="0" xfId="0">
      <alignment vertical="center" wrapText="1"/>
    </xf>
    <xf numFmtId="0" fontId="15" fillId="7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6" min="1" max="1"/>
    <col width="20" customWidth="1" style="16" min="2" max="2"/>
    <col width="22" customWidth="1" style="16" min="3" max="3"/>
    <col width="16" customWidth="1" style="16" min="4" max="6"/>
    <col width="30" customWidth="1" style="16" min="7" max="7"/>
    <col width="20" customWidth="1" style="16" min="8" max="8"/>
    <col width="35" customWidth="1" style="16" min="9" max="9"/>
  </cols>
  <sheetData>
    <row r="1" ht="26.85" customHeight="1" s="17">
      <c r="A1" s="18" t="inlineStr">
        <is>
          <t>Metro Line</t>
        </is>
      </c>
      <c r="B1" s="18" t="inlineStr">
        <is>
          <t>Station</t>
        </is>
      </c>
      <c r="C1" s="18" t="inlineStr">
        <is>
          <t>Suburb/Area</t>
        </is>
      </c>
      <c r="D1" s="18" t="inlineStr">
        <is>
          <t>Status</t>
        </is>
      </c>
      <c r="E1" s="18" t="inlineStr">
        <is>
          <t>2BR Rent ($/wk)</t>
        </is>
      </c>
      <c r="F1" s="18" t="inlineStr">
        <is>
          <t>3BR Rent ($/wk)</t>
        </is>
      </c>
      <c r="G1" s="18" t="inlineStr">
        <is>
          <t>Nearest Public Hospital</t>
        </is>
      </c>
      <c r="H1" s="18" t="inlineStr">
        <is>
          <t>Hospital Distance (approx)</t>
        </is>
      </c>
      <c r="I1" s="18" t="inlineStr">
        <is>
          <t>Notes</t>
        </is>
      </c>
    </row>
    <row r="2" ht="15" customHeight="1" s="17">
      <c r="A2" s="19" t="inlineStr">
        <is>
          <t>M1 North West</t>
        </is>
      </c>
      <c r="B2" s="20" t="inlineStr">
        <is>
          <t>Tallawong</t>
        </is>
      </c>
      <c r="C2" s="19" t="inlineStr">
        <is>
          <t>Tallawong / Rouse Hill</t>
        </is>
      </c>
      <c r="D2" s="21" t="inlineStr">
        <is>
          <t>Open</t>
        </is>
      </c>
      <c r="E2" s="22" t="n">
        <v>600</v>
      </c>
      <c r="F2" s="22" t="n">
        <v>775</v>
      </c>
      <c r="G2" s="19" t="inlineStr">
        <is>
          <t>Westmead Hospital</t>
        </is>
      </c>
      <c r="H2" s="19" t="inlineStr">
        <is>
          <t>~15km</t>
        </is>
      </c>
      <c r="I2" s="23" t="inlineStr">
        <is>
          <t>Newest suburb, growing rapidly</t>
        </is>
      </c>
    </row>
    <row r="3" ht="15" customHeight="1" s="17">
      <c r="A3" s="19" t="inlineStr">
        <is>
          <t>M1 North West</t>
        </is>
      </c>
      <c r="B3" s="20" t="inlineStr">
        <is>
          <t>Rouse Hill</t>
        </is>
      </c>
      <c r="C3" s="19" t="inlineStr">
        <is>
          <t>Rouse Hill</t>
        </is>
      </c>
      <c r="D3" s="21" t="inlineStr">
        <is>
          <t>Open</t>
        </is>
      </c>
      <c r="E3" s="22" t="n">
        <v>650</v>
      </c>
      <c r="F3" s="22" t="n">
        <v>825</v>
      </c>
      <c r="G3" s="19" t="inlineStr">
        <is>
          <t>Westmead Hospital</t>
        </is>
      </c>
      <c r="H3" s="19" t="inlineStr">
        <is>
          <t>~14km</t>
        </is>
      </c>
      <c r="I3" s="23" t="inlineStr">
        <is>
          <t>Major town centre, good retail</t>
        </is>
      </c>
    </row>
    <row r="4" ht="15" customHeight="1" s="17">
      <c r="A4" s="19" t="inlineStr">
        <is>
          <t>M1 North West</t>
        </is>
      </c>
      <c r="B4" s="20" t="inlineStr">
        <is>
          <t>Kellyville</t>
        </is>
      </c>
      <c r="C4" s="19" t="inlineStr">
        <is>
          <t>Kellyville</t>
        </is>
      </c>
      <c r="D4" s="21" t="inlineStr">
        <is>
          <t>Open</t>
        </is>
      </c>
      <c r="E4" s="22" t="n">
        <v>670</v>
      </c>
      <c r="F4" s="22" t="n">
        <v>850</v>
      </c>
      <c r="G4" s="19" t="inlineStr">
        <is>
          <t>Westmead Hospital</t>
        </is>
      </c>
      <c r="H4" s="19" t="inlineStr">
        <is>
          <t>~12km</t>
        </is>
      </c>
      <c r="I4" s="23" t="inlineStr">
        <is>
          <t>Family-friendly, newer builds</t>
        </is>
      </c>
    </row>
    <row r="5" ht="15" customHeight="1" s="17">
      <c r="A5" s="19" t="inlineStr">
        <is>
          <t>M1 North West</t>
        </is>
      </c>
      <c r="B5" s="20" t="inlineStr">
        <is>
          <t>Bella Vista</t>
        </is>
      </c>
      <c r="C5" s="19" t="inlineStr">
        <is>
          <t>Bella Vista</t>
        </is>
      </c>
      <c r="D5" s="21" t="inlineStr">
        <is>
          <t>Open</t>
        </is>
      </c>
      <c r="E5" s="22" t="n">
        <v>700</v>
      </c>
      <c r="F5" s="22" t="n">
        <v>875</v>
      </c>
      <c r="G5" s="19" t="inlineStr">
        <is>
          <t>Westmead Hospital</t>
        </is>
      </c>
      <c r="H5" s="19" t="inlineStr">
        <is>
          <t>~10km</t>
        </is>
      </c>
      <c r="I5" s="23" t="inlineStr">
        <is>
          <t>Near Norwest Business Park</t>
        </is>
      </c>
    </row>
    <row r="6" ht="15" customHeight="1" s="17">
      <c r="A6" s="19" t="inlineStr">
        <is>
          <t>M1 North West</t>
        </is>
      </c>
      <c r="B6" s="20" t="inlineStr">
        <is>
          <t>Hills Showground</t>
        </is>
      </c>
      <c r="C6" s="19" t="inlineStr">
        <is>
          <t>Castle Hill</t>
        </is>
      </c>
      <c r="D6" s="21" t="inlineStr">
        <is>
          <t>Open</t>
        </is>
      </c>
      <c r="E6" s="22" t="n">
        <v>700</v>
      </c>
      <c r="F6" s="22" t="n">
        <v>875</v>
      </c>
      <c r="G6" s="19" t="inlineStr">
        <is>
          <t>Westmead Hospital</t>
        </is>
      </c>
      <c r="H6" s="19" t="inlineStr">
        <is>
          <t>~11km</t>
        </is>
      </c>
      <c r="I6" s="23" t="inlineStr">
        <is>
          <t>Adjacent to Castle Towers</t>
        </is>
      </c>
    </row>
    <row r="7" ht="15" customHeight="1" s="17">
      <c r="A7" s="19" t="inlineStr">
        <is>
          <t>M1 North West</t>
        </is>
      </c>
      <c r="B7" s="20" t="inlineStr">
        <is>
          <t>Castle Hill</t>
        </is>
      </c>
      <c r="C7" s="19" t="inlineStr">
        <is>
          <t>Castle Hill</t>
        </is>
      </c>
      <c r="D7" s="21" t="inlineStr">
        <is>
          <t>Open</t>
        </is>
      </c>
      <c r="E7" s="22" t="n">
        <v>730</v>
      </c>
      <c r="F7" s="22" t="n">
        <v>875</v>
      </c>
      <c r="G7" s="19" t="inlineStr">
        <is>
          <t>Westmead Hospital</t>
        </is>
      </c>
      <c r="H7" s="19" t="inlineStr">
        <is>
          <t>~10km</t>
        </is>
      </c>
      <c r="I7" s="23" t="inlineStr">
        <is>
          <t>Established suburb, premium</t>
        </is>
      </c>
    </row>
    <row r="8" ht="15" customHeight="1" s="17">
      <c r="A8" s="19" t="inlineStr">
        <is>
          <t>M1 North West</t>
        </is>
      </c>
      <c r="B8" s="20" t="inlineStr">
        <is>
          <t>Cherrybrook</t>
        </is>
      </c>
      <c r="C8" s="19" t="inlineStr">
        <is>
          <t>Cherrybrook</t>
        </is>
      </c>
      <c r="D8" s="21" t="inlineStr">
        <is>
          <t>Open</t>
        </is>
      </c>
      <c r="E8" s="22" t="n">
        <v>775</v>
      </c>
      <c r="F8" s="22" t="n">
        <v>950</v>
      </c>
      <c r="G8" s="19" t="inlineStr">
        <is>
          <t>Hornsby Hospital</t>
        </is>
      </c>
      <c r="H8" s="19" t="inlineStr">
        <is>
          <t>~7km</t>
        </is>
      </c>
      <c r="I8" s="23" t="inlineStr">
        <is>
          <t>Leafy, family area, limited units</t>
        </is>
      </c>
    </row>
    <row r="9" ht="15" customHeight="1" s="17">
      <c r="A9" s="19" t="inlineStr">
        <is>
          <t>M1 North West</t>
        </is>
      </c>
      <c r="B9" s="20" t="inlineStr">
        <is>
          <t>Epping</t>
        </is>
      </c>
      <c r="C9" s="19" t="inlineStr">
        <is>
          <t>Epping</t>
        </is>
      </c>
      <c r="D9" s="21" t="inlineStr">
        <is>
          <t>Open</t>
        </is>
      </c>
      <c r="E9" s="22" t="n">
        <v>750</v>
      </c>
      <c r="F9" s="22" t="n">
        <v>925</v>
      </c>
      <c r="G9" s="19" t="inlineStr">
        <is>
          <t>Ryde Hospital</t>
        </is>
      </c>
      <c r="H9" s="19" t="inlineStr">
        <is>
          <t>~4km</t>
        </is>
      </c>
      <c r="I9" s="23" t="inlineStr">
        <is>
          <t>Also on T1 train line</t>
        </is>
      </c>
    </row>
    <row r="10" ht="15" customHeight="1" s="17">
      <c r="A10" s="19" t="inlineStr">
        <is>
          <t>M1 North West</t>
        </is>
      </c>
      <c r="B10" s="20" t="inlineStr">
        <is>
          <t>Macquarie University</t>
        </is>
      </c>
      <c r="C10" s="19" t="inlineStr">
        <is>
          <t>Macquarie Park</t>
        </is>
      </c>
      <c r="D10" s="21" t="inlineStr">
        <is>
          <t>Open</t>
        </is>
      </c>
      <c r="E10" s="22" t="n">
        <v>800</v>
      </c>
      <c r="F10" s="22" t="n">
        <v>975</v>
      </c>
      <c r="G10" s="19" t="inlineStr">
        <is>
          <t>Ryde Hospital</t>
        </is>
      </c>
      <c r="H10" s="19" t="inlineStr">
        <is>
          <t>~3km</t>
        </is>
      </c>
      <c r="I10" s="23" t="inlineStr">
        <is>
          <t>Student/tech hub, high demand</t>
        </is>
      </c>
    </row>
    <row r="11" ht="15" customHeight="1" s="17">
      <c r="A11" s="19" t="inlineStr">
        <is>
          <t>M1 North West</t>
        </is>
      </c>
      <c r="B11" s="20" t="inlineStr">
        <is>
          <t>Macquarie Park</t>
        </is>
      </c>
      <c r="C11" s="19" t="inlineStr">
        <is>
          <t>Macquarie Park</t>
        </is>
      </c>
      <c r="D11" s="21" t="inlineStr">
        <is>
          <t>Open</t>
        </is>
      </c>
      <c r="E11" s="22" t="n">
        <v>800</v>
      </c>
      <c r="F11" s="22" t="n">
        <v>975</v>
      </c>
      <c r="G11" s="19" t="inlineStr">
        <is>
          <t>Ryde Hospital</t>
        </is>
      </c>
      <c r="H11" s="19" t="inlineStr">
        <is>
          <t>~3km</t>
        </is>
      </c>
      <c r="I11" s="23" t="inlineStr">
        <is>
          <t>Business park, many new apartments</t>
        </is>
      </c>
    </row>
    <row r="12" ht="15" customHeight="1" s="17">
      <c r="A12" s="19" t="inlineStr">
        <is>
          <t>M1 North West</t>
        </is>
      </c>
      <c r="B12" s="20" t="inlineStr">
        <is>
          <t>North Ryde</t>
        </is>
      </c>
      <c r="C12" s="19" t="inlineStr">
        <is>
          <t>North Ryde</t>
        </is>
      </c>
      <c r="D12" s="21" t="inlineStr">
        <is>
          <t>Open</t>
        </is>
      </c>
      <c r="E12" s="22" t="n">
        <v>770</v>
      </c>
      <c r="F12" s="22" t="n">
        <v>950</v>
      </c>
      <c r="G12" s="19" t="inlineStr">
        <is>
          <t>Ryde Hospital</t>
        </is>
      </c>
      <c r="H12" s="19" t="inlineStr">
        <is>
          <t>~2km</t>
        </is>
      </c>
      <c r="I12" s="23" t="inlineStr">
        <is>
          <t>Close to hospital, good access</t>
        </is>
      </c>
    </row>
    <row r="13" ht="15" customHeight="1" s="17">
      <c r="A13" s="19" t="inlineStr">
        <is>
          <t>M1 North West</t>
        </is>
      </c>
      <c r="B13" s="20" t="inlineStr">
        <is>
          <t>Delhi Road</t>
        </is>
      </c>
      <c r="C13" s="19" t="inlineStr">
        <is>
          <t>North Ryde</t>
        </is>
      </c>
      <c r="D13" s="21" t="inlineStr">
        <is>
          <t>Open</t>
        </is>
      </c>
      <c r="E13" s="22" t="n">
        <v>770</v>
      </c>
      <c r="F13" s="22" t="n">
        <v>950</v>
      </c>
      <c r="G13" s="19" t="inlineStr">
        <is>
          <t>Royal North Shore Hospital</t>
        </is>
      </c>
      <c r="H13" s="19" t="inlineStr">
        <is>
          <t>~5km</t>
        </is>
      </c>
      <c r="I13" s="23" t="inlineStr">
        <is>
          <t>Limited residential nearby</t>
        </is>
      </c>
    </row>
    <row r="14" ht="15" customHeight="1" s="17">
      <c r="A14" s="19" t="inlineStr">
        <is>
          <t>M1 North West</t>
        </is>
      </c>
      <c r="B14" s="20" t="inlineStr">
        <is>
          <t>Chatswood</t>
        </is>
      </c>
      <c r="C14" s="19" t="inlineStr">
        <is>
          <t>Chatswood</t>
        </is>
      </c>
      <c r="D14" s="21" t="inlineStr">
        <is>
          <t>Open</t>
        </is>
      </c>
      <c r="E14" s="22" t="n">
        <v>900</v>
      </c>
      <c r="F14" s="22" t="n">
        <v>1200</v>
      </c>
      <c r="G14" s="19" t="inlineStr">
        <is>
          <t>Royal North Shore Hospital</t>
        </is>
      </c>
      <c r="H14" s="19" t="inlineStr">
        <is>
          <t>~2km</t>
        </is>
      </c>
      <c r="I14" s="23" t="inlineStr">
        <is>
          <t>Major centre, premium rents</t>
        </is>
      </c>
    </row>
    <row r="15" ht="15" customHeight="1" s="17">
      <c r="A15" s="19" t="inlineStr">
        <is>
          <t>M1 City</t>
        </is>
      </c>
      <c r="B15" s="20" t="inlineStr">
        <is>
          <t>Crows Nest</t>
        </is>
      </c>
      <c r="C15" s="19" t="inlineStr">
        <is>
          <t>Crows Nest</t>
        </is>
      </c>
      <c r="D15" s="21" t="inlineStr">
        <is>
          <t>Open</t>
        </is>
      </c>
      <c r="E15" s="22" t="n">
        <v>1000</v>
      </c>
      <c r="F15" s="22" t="n">
        <v>1300</v>
      </c>
      <c r="G15" s="19" t="inlineStr">
        <is>
          <t>Royal North Shore Hospital</t>
        </is>
      </c>
      <c r="H15" s="19" t="inlineStr">
        <is>
          <t>~1.5km</t>
        </is>
      </c>
      <c r="I15" s="23" t="inlineStr">
        <is>
          <t>Trendy, cafes, walkable to RNSH</t>
        </is>
      </c>
    </row>
    <row r="16" ht="15" customHeight="1" s="17">
      <c r="A16" s="19" t="inlineStr">
        <is>
          <t>M1 City</t>
        </is>
      </c>
      <c r="B16" s="20" t="inlineStr">
        <is>
          <t>Victoria Cross</t>
        </is>
      </c>
      <c r="C16" s="19" t="inlineStr">
        <is>
          <t>North Sydney</t>
        </is>
      </c>
      <c r="D16" s="21" t="inlineStr">
        <is>
          <t>Open</t>
        </is>
      </c>
      <c r="E16" s="22" t="n">
        <v>975</v>
      </c>
      <c r="F16" s="22" t="n">
        <v>1325</v>
      </c>
      <c r="G16" s="19" t="inlineStr">
        <is>
          <t>Royal North Shore Hospital</t>
        </is>
      </c>
      <c r="H16" s="19" t="inlineStr">
        <is>
          <t>~2km</t>
        </is>
      </c>
      <c r="I16" s="23" t="inlineStr">
        <is>
          <t>CBD fringe, corporate hub</t>
        </is>
      </c>
    </row>
    <row r="17" ht="15" customHeight="1" s="17">
      <c r="A17" s="19" t="inlineStr">
        <is>
          <t>M1 City</t>
        </is>
      </c>
      <c r="B17" s="20" t="inlineStr">
        <is>
          <t>Barangaroo</t>
        </is>
      </c>
      <c r="C17" s="19" t="inlineStr">
        <is>
          <t>Barangaroo/CBD</t>
        </is>
      </c>
      <c r="D17" s="21" t="inlineStr">
        <is>
          <t>Open</t>
        </is>
      </c>
      <c r="E17" s="22" t="n">
        <v>1225</v>
      </c>
      <c r="F17" s="22" t="n">
        <v>1675</v>
      </c>
      <c r="G17" s="19" t="inlineStr">
        <is>
          <t>St Vincents Hospital</t>
        </is>
      </c>
      <c r="H17" s="19" t="inlineStr">
        <is>
          <t>~3km</t>
        </is>
      </c>
      <c r="I17" s="23" t="inlineStr">
        <is>
          <t>Premium waterfront, highest rents</t>
        </is>
      </c>
    </row>
    <row r="18" ht="15" customHeight="1" s="17">
      <c r="A18" s="19" t="inlineStr">
        <is>
          <t>M1 City</t>
        </is>
      </c>
      <c r="B18" s="20" t="inlineStr">
        <is>
          <t>Martin Place</t>
        </is>
      </c>
      <c r="C18" s="19" t="inlineStr">
        <is>
          <t>Sydney CBD</t>
        </is>
      </c>
      <c r="D18" s="21" t="inlineStr">
        <is>
          <t>Open</t>
        </is>
      </c>
      <c r="E18" s="22" t="n">
        <v>1175</v>
      </c>
      <c r="F18" s="22" t="n">
        <v>1600</v>
      </c>
      <c r="G18" s="19" t="inlineStr">
        <is>
          <t>St Vincents Hospital</t>
        </is>
      </c>
      <c r="H18" s="19" t="inlineStr">
        <is>
          <t>~2km</t>
        </is>
      </c>
      <c r="I18" s="23" t="inlineStr">
        <is>
          <t>Heart of CBD</t>
        </is>
      </c>
    </row>
    <row r="19" ht="15" customHeight="1" s="17">
      <c r="A19" s="19" t="inlineStr">
        <is>
          <t>M1 City</t>
        </is>
      </c>
      <c r="B19" s="20" t="inlineStr">
        <is>
          <t>Gadigal</t>
        </is>
      </c>
      <c r="C19" s="19" t="inlineStr">
        <is>
          <t>Surry Hills/CBD</t>
        </is>
      </c>
      <c r="D19" s="21" t="inlineStr">
        <is>
          <t>Open</t>
        </is>
      </c>
      <c r="E19" s="22" t="n">
        <v>1100</v>
      </c>
      <c r="F19" s="22" t="n">
        <v>1450</v>
      </c>
      <c r="G19" s="19" t="inlineStr">
        <is>
          <t>St Vincents Hospital</t>
        </is>
      </c>
      <c r="H19" s="19" t="inlineStr">
        <is>
          <t>~1.5km</t>
        </is>
      </c>
      <c r="I19" s="23" t="inlineStr">
        <is>
          <t>Near Oxford St, vibrant area</t>
        </is>
      </c>
    </row>
    <row r="20" ht="15" customHeight="1" s="17">
      <c r="A20" s="19" t="inlineStr">
        <is>
          <t>M1 City</t>
        </is>
      </c>
      <c r="B20" s="20" t="inlineStr">
        <is>
          <t>Central</t>
        </is>
      </c>
      <c r="C20" s="19" t="inlineStr">
        <is>
          <t>Haymarket/Surry Hills</t>
        </is>
      </c>
      <c r="D20" s="21" t="inlineStr">
        <is>
          <t>Open</t>
        </is>
      </c>
      <c r="E20" s="22" t="n">
        <v>1000</v>
      </c>
      <c r="F20" s="22" t="n">
        <v>1350</v>
      </c>
      <c r="G20" s="19" t="inlineStr">
        <is>
          <t>Royal Prince Alfred Hospital</t>
        </is>
      </c>
      <c r="H20" s="19" t="inlineStr">
        <is>
          <t>~2km</t>
        </is>
      </c>
      <c r="I20" s="23" t="inlineStr">
        <is>
          <t>Major transport hub</t>
        </is>
      </c>
    </row>
    <row r="21" ht="15" customHeight="1" s="17">
      <c r="A21" s="19" t="inlineStr">
        <is>
          <t>M1 City</t>
        </is>
      </c>
      <c r="B21" s="20" t="inlineStr">
        <is>
          <t>Waterloo</t>
        </is>
      </c>
      <c r="C21" s="19" t="inlineStr">
        <is>
          <t>Waterloo</t>
        </is>
      </c>
      <c r="D21" s="21" t="inlineStr">
        <is>
          <t>Open</t>
        </is>
      </c>
      <c r="E21" s="22" t="n">
        <v>925</v>
      </c>
      <c r="F21" s="22" t="n">
        <v>1225</v>
      </c>
      <c r="G21" s="19" t="inlineStr">
        <is>
          <t>Royal Prince Alfred Hospital</t>
        </is>
      </c>
      <c r="H21" s="19" t="inlineStr">
        <is>
          <t>~3km</t>
        </is>
      </c>
      <c r="I21" s="23" t="inlineStr">
        <is>
          <t>Urban renewal area, new builds</t>
        </is>
      </c>
    </row>
    <row r="22" ht="15" customHeight="1" s="17">
      <c r="A22" s="19" t="inlineStr">
        <is>
          <t>M1 City</t>
        </is>
      </c>
      <c r="B22" s="20" t="inlineStr">
        <is>
          <t>Sydenham</t>
        </is>
      </c>
      <c r="C22" s="19" t="inlineStr">
        <is>
          <t>Sydenham</t>
        </is>
      </c>
      <c r="D22" s="21" t="inlineStr">
        <is>
          <t>Open</t>
        </is>
      </c>
      <c r="E22" s="22" t="n">
        <v>815</v>
      </c>
      <c r="F22" s="22" t="n">
        <v>1050</v>
      </c>
      <c r="G22" s="19" t="inlineStr">
        <is>
          <t>Royal Prince Alfred Hospital</t>
        </is>
      </c>
      <c r="H22" s="19" t="inlineStr">
        <is>
          <t>~4km</t>
        </is>
      </c>
      <c r="I22" s="23" t="inlineStr">
        <is>
          <t>Inner West fringe, affordable</t>
        </is>
      </c>
    </row>
    <row r="23" ht="15" customHeight="1" s="17">
      <c r="A23" s="19" t="inlineStr">
        <is>
          <t>M1 Southwest</t>
        </is>
      </c>
      <c r="B23" s="20" t="inlineStr">
        <is>
          <t>Marrickville</t>
        </is>
      </c>
      <c r="C23" s="19" t="inlineStr">
        <is>
          <t>Marrickville</t>
        </is>
      </c>
      <c r="D23" s="24" t="inlineStr">
        <is>
          <t>Opening H2 2026</t>
        </is>
      </c>
      <c r="E23" s="22" t="n">
        <v>770</v>
      </c>
      <c r="F23" s="22" t="n">
        <v>975</v>
      </c>
      <c r="G23" s="19" t="inlineStr">
        <is>
          <t>Royal Prince Alfred Hospital</t>
        </is>
      </c>
      <c r="H23" s="19" t="inlineStr">
        <is>
          <t>~3km</t>
        </is>
      </c>
      <c r="I23" s="23" t="inlineStr">
        <is>
          <t>Trendy Inner West, cafes/bars</t>
        </is>
      </c>
    </row>
    <row r="24" ht="15" customHeight="1" s="17">
      <c r="A24" s="19" t="inlineStr">
        <is>
          <t>M1 Southwest</t>
        </is>
      </c>
      <c r="B24" s="20" t="inlineStr">
        <is>
          <t>Dulwich Hill</t>
        </is>
      </c>
      <c r="C24" s="19" t="inlineStr">
        <is>
          <t>Dulwich Hill</t>
        </is>
      </c>
      <c r="D24" s="24" t="inlineStr">
        <is>
          <t>Opening H2 2026</t>
        </is>
      </c>
      <c r="E24" s="22" t="n">
        <v>700</v>
      </c>
      <c r="F24" s="22" t="n">
        <v>860</v>
      </c>
      <c r="G24" s="19" t="inlineStr">
        <is>
          <t>Canterbury Hospital</t>
        </is>
      </c>
      <c r="H24" s="19" t="inlineStr">
        <is>
          <t>~3km</t>
        </is>
      </c>
      <c r="I24" s="23" t="inlineStr">
        <is>
          <t>Quiet, family-friendly</t>
        </is>
      </c>
    </row>
    <row r="25" ht="15" customHeight="1" s="17">
      <c r="A25" s="19" t="inlineStr">
        <is>
          <t>M1 Southwest</t>
        </is>
      </c>
      <c r="B25" s="20" t="inlineStr">
        <is>
          <t>Hurlstone Park</t>
        </is>
      </c>
      <c r="C25" s="19" t="inlineStr">
        <is>
          <t>Hurlstone Park</t>
        </is>
      </c>
      <c r="D25" s="24" t="inlineStr">
        <is>
          <t>Opening H2 2026</t>
        </is>
      </c>
      <c r="E25" s="22" t="n">
        <v>660</v>
      </c>
      <c r="F25" s="22" t="n">
        <v>840</v>
      </c>
      <c r="G25" s="19" t="inlineStr">
        <is>
          <t>Canterbury Hospital</t>
        </is>
      </c>
      <c r="H25" s="19" t="inlineStr">
        <is>
          <t>~2km</t>
        </is>
      </c>
      <c r="I25" s="23" t="inlineStr">
        <is>
          <t>Small, charming suburb</t>
        </is>
      </c>
    </row>
    <row r="26" ht="15" customHeight="1" s="17">
      <c r="A26" s="19" t="inlineStr">
        <is>
          <t>M1 Southwest</t>
        </is>
      </c>
      <c r="B26" s="20" t="inlineStr">
        <is>
          <t>Canterbury</t>
        </is>
      </c>
      <c r="C26" s="19" t="inlineStr">
        <is>
          <t>Canterbury</t>
        </is>
      </c>
      <c r="D26" s="24" t="inlineStr">
        <is>
          <t>Opening H2 2026</t>
        </is>
      </c>
      <c r="E26" s="22" t="n">
        <v>630</v>
      </c>
      <c r="F26" s="22" t="n">
        <v>815</v>
      </c>
      <c r="G26" s="19" t="inlineStr">
        <is>
          <t>Canterbury Hospital</t>
        </is>
      </c>
      <c r="H26" s="19" t="inlineStr">
        <is>
          <t>~0.5km</t>
        </is>
      </c>
      <c r="I26" s="23" t="inlineStr">
        <is>
          <t>Very close to Canterbury Hospital</t>
        </is>
      </c>
    </row>
    <row r="27" ht="15" customHeight="1" s="17">
      <c r="A27" s="19" t="inlineStr">
        <is>
          <t>M1 Southwest</t>
        </is>
      </c>
      <c r="B27" s="20" t="inlineStr">
        <is>
          <t>Campsie</t>
        </is>
      </c>
      <c r="C27" s="19" t="inlineStr">
        <is>
          <t>Campsie</t>
        </is>
      </c>
      <c r="D27" s="24" t="inlineStr">
        <is>
          <t>Opening H2 2026</t>
        </is>
      </c>
      <c r="E27" s="22" t="n">
        <v>600</v>
      </c>
      <c r="F27" s="22" t="n">
        <v>775</v>
      </c>
      <c r="G27" s="19" t="inlineStr">
        <is>
          <t>Canterbury Hospital</t>
        </is>
      </c>
      <c r="H27" s="19" t="inlineStr">
        <is>
          <t>~2km</t>
        </is>
      </c>
      <c r="I27" s="23" t="inlineStr">
        <is>
          <t>Diverse, great food, affordable</t>
        </is>
      </c>
    </row>
    <row r="28" ht="15" customHeight="1" s="17">
      <c r="A28" s="19" t="inlineStr">
        <is>
          <t>M1 Southwest</t>
        </is>
      </c>
      <c r="B28" s="20" t="inlineStr">
        <is>
          <t>Belmore</t>
        </is>
      </c>
      <c r="C28" s="19" t="inlineStr">
        <is>
          <t>Belmore</t>
        </is>
      </c>
      <c r="D28" s="24" t="inlineStr">
        <is>
          <t>Opening H2 2026</t>
        </is>
      </c>
      <c r="E28" s="22" t="n">
        <v>570</v>
      </c>
      <c r="F28" s="22" t="n">
        <v>750</v>
      </c>
      <c r="G28" s="19" t="inlineStr">
        <is>
          <t>Canterbury Hospital</t>
        </is>
      </c>
      <c r="H28" s="19" t="inlineStr">
        <is>
          <t>~3km</t>
        </is>
      </c>
      <c r="I28" s="23" t="inlineStr">
        <is>
          <t>Affordable, multicultural</t>
        </is>
      </c>
    </row>
    <row r="29" ht="15" customHeight="1" s="17">
      <c r="A29" s="19" t="inlineStr">
        <is>
          <t>M1 Southwest</t>
        </is>
      </c>
      <c r="B29" s="20" t="inlineStr">
        <is>
          <t>Lakemba</t>
        </is>
      </c>
      <c r="C29" s="19" t="inlineStr">
        <is>
          <t>Lakemba</t>
        </is>
      </c>
      <c r="D29" s="24" t="inlineStr">
        <is>
          <t>Opening H2 2026</t>
        </is>
      </c>
      <c r="E29" s="22" t="n">
        <v>520</v>
      </c>
      <c r="F29" s="22" t="n">
        <v>700</v>
      </c>
      <c r="G29" s="19" t="inlineStr">
        <is>
          <t>Canterbury Hospital</t>
        </is>
      </c>
      <c r="H29" s="19" t="inlineStr">
        <is>
          <t>~4km</t>
        </is>
      </c>
      <c r="I29" s="23" t="inlineStr">
        <is>
          <t>Most affordable on the line</t>
        </is>
      </c>
    </row>
    <row r="30" ht="15" customHeight="1" s="17">
      <c r="A30" s="19" t="inlineStr">
        <is>
          <t>M1 Southwest</t>
        </is>
      </c>
      <c r="B30" s="20" t="inlineStr">
        <is>
          <t>Wiley Park</t>
        </is>
      </c>
      <c r="C30" s="19" t="inlineStr">
        <is>
          <t>Wiley Park</t>
        </is>
      </c>
      <c r="D30" s="24" t="inlineStr">
        <is>
          <t>Opening H2 2026</t>
        </is>
      </c>
      <c r="E30" s="22" t="n">
        <v>510</v>
      </c>
      <c r="F30" s="22" t="n">
        <v>675</v>
      </c>
      <c r="G30" s="19" t="inlineStr">
        <is>
          <t>Bankstown-Lidcombe Hospital</t>
        </is>
      </c>
      <c r="H30" s="19" t="inlineStr">
        <is>
          <t>~4km</t>
        </is>
      </c>
      <c r="I30" s="23" t="inlineStr">
        <is>
          <t>Very affordable, quiet</t>
        </is>
      </c>
    </row>
    <row r="31" ht="15" customHeight="1" s="17">
      <c r="A31" s="19" t="inlineStr">
        <is>
          <t>M1 Southwest</t>
        </is>
      </c>
      <c r="B31" s="20" t="inlineStr">
        <is>
          <t>Punchbowl</t>
        </is>
      </c>
      <c r="C31" s="19" t="inlineStr">
        <is>
          <t>Punchbowl</t>
        </is>
      </c>
      <c r="D31" s="24" t="inlineStr">
        <is>
          <t>Opening H2 2026</t>
        </is>
      </c>
      <c r="E31" s="22" t="n">
        <v>525</v>
      </c>
      <c r="F31" s="22" t="n">
        <v>710</v>
      </c>
      <c r="G31" s="19" t="inlineStr">
        <is>
          <t>Bankstown-Lidcombe Hospital</t>
        </is>
      </c>
      <c r="H31" s="19" t="inlineStr">
        <is>
          <t>~3km</t>
        </is>
      </c>
      <c r="I31" s="23" t="inlineStr">
        <is>
          <t>Affordable, improving area</t>
        </is>
      </c>
    </row>
    <row r="32" ht="15" customHeight="1" s="17">
      <c r="A32" s="19" t="inlineStr">
        <is>
          <t>M1 Southwest</t>
        </is>
      </c>
      <c r="B32" s="20" t="inlineStr">
        <is>
          <t>Bankstown</t>
        </is>
      </c>
      <c r="C32" s="19" t="inlineStr">
        <is>
          <t>Bankstown</t>
        </is>
      </c>
      <c r="D32" s="24" t="inlineStr">
        <is>
          <t>Opening H2 2026</t>
        </is>
      </c>
      <c r="E32" s="22" t="n">
        <v>600</v>
      </c>
      <c r="F32" s="22" t="n">
        <v>775</v>
      </c>
      <c r="G32" s="19" t="inlineStr">
        <is>
          <t>Bankstown-Lidcombe Hospital</t>
        </is>
      </c>
      <c r="H32" s="19" t="inlineStr">
        <is>
          <t>~3km</t>
        </is>
      </c>
      <c r="I32" s="23" t="inlineStr">
        <is>
          <t>Major centre, hospital accessible via bus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16" min="1" max="1"/>
    <col width="22" customWidth="1" style="16" min="2" max="2"/>
    <col width="16" customWidth="1" style="16" min="3" max="9"/>
  </cols>
  <sheetData>
    <row r="1" ht="26.85" customHeight="1" s="17">
      <c r="A1" s="18" t="inlineStr">
        <is>
          <t>Station</t>
        </is>
      </c>
      <c r="B1" s="18" t="inlineStr">
        <is>
          <t>Suburb</t>
        </is>
      </c>
      <c r="C1" s="18" t="inlineStr">
        <is>
          <t>2BR Low ($/wk)</t>
        </is>
      </c>
      <c r="D1" s="18" t="inlineStr">
        <is>
          <t>2BR High ($/wk)</t>
        </is>
      </c>
      <c r="E1" s="18" t="inlineStr">
        <is>
          <t>2BR Mid ($/wk)</t>
        </is>
      </c>
      <c r="F1" s="18" t="inlineStr">
        <is>
          <t>3BR Low ($/wk)</t>
        </is>
      </c>
      <c r="G1" s="18" t="inlineStr">
        <is>
          <t>3BR High ($/wk)</t>
        </is>
      </c>
      <c r="H1" s="18" t="inlineStr">
        <is>
          <t>3BR Mid ($/wk)</t>
        </is>
      </c>
      <c r="I1" s="18" t="inlineStr">
        <is>
          <t>Price Tier</t>
        </is>
      </c>
    </row>
    <row r="2" ht="15" customHeight="1" s="17">
      <c r="A2" s="25" t="inlineStr">
        <is>
          <t>Tallawong</t>
        </is>
      </c>
      <c r="B2" s="26" t="inlineStr">
        <is>
          <t>Tallawong / Rouse Hill</t>
        </is>
      </c>
      <c r="C2" s="27" t="n">
        <v>550</v>
      </c>
      <c r="D2" s="27" t="n">
        <v>650</v>
      </c>
      <c r="E2" s="28">
        <f>AVERAGE(C2,D2)</f>
        <v/>
      </c>
      <c r="F2" s="27" t="n">
        <v>700</v>
      </c>
      <c r="G2" s="27" t="n">
        <v>850</v>
      </c>
      <c r="H2" s="28">
        <f>AVERAGE(F2,G2)</f>
        <v/>
      </c>
      <c r="I2" s="26">
        <f>IF(E2&lt;600,"Budget",IF(E2&lt;750,"Affordable",IF(E2&lt;900,"Mid-Range",IF(E2&lt;1100,"Premium","Ultra Premium"))))</f>
        <v/>
      </c>
    </row>
    <row r="3" ht="15" customHeight="1" s="17">
      <c r="A3" s="25" t="inlineStr">
        <is>
          <t>Rouse Hill</t>
        </is>
      </c>
      <c r="B3" s="26" t="inlineStr">
        <is>
          <t>Rouse Hill</t>
        </is>
      </c>
      <c r="C3" s="27" t="n">
        <v>600</v>
      </c>
      <c r="D3" s="27" t="n">
        <v>700</v>
      </c>
      <c r="E3" s="28">
        <f>AVERAGE(C3,D3)</f>
        <v/>
      </c>
      <c r="F3" s="27" t="n">
        <v>750</v>
      </c>
      <c r="G3" s="27" t="n">
        <v>900</v>
      </c>
      <c r="H3" s="28">
        <f>AVERAGE(F3,G3)</f>
        <v/>
      </c>
      <c r="I3" s="26">
        <f>IF(E3&lt;600,"Budget",IF(E3&lt;750,"Affordable",IF(E3&lt;900,"Mid-Range",IF(E3&lt;1100,"Premium","Ultra Premium"))))</f>
        <v/>
      </c>
    </row>
    <row r="4" ht="15" customHeight="1" s="17">
      <c r="A4" s="25" t="inlineStr">
        <is>
          <t>Kellyville</t>
        </is>
      </c>
      <c r="B4" s="26" t="inlineStr">
        <is>
          <t>Kellyville</t>
        </is>
      </c>
      <c r="C4" s="27" t="n">
        <v>620</v>
      </c>
      <c r="D4" s="27" t="n">
        <v>720</v>
      </c>
      <c r="E4" s="28">
        <f>AVERAGE(C4,D4)</f>
        <v/>
      </c>
      <c r="F4" s="27" t="n">
        <v>780</v>
      </c>
      <c r="G4" s="27" t="n">
        <v>920</v>
      </c>
      <c r="H4" s="28">
        <f>AVERAGE(F4,G4)</f>
        <v/>
      </c>
      <c r="I4" s="26">
        <f>IF(E4&lt;600,"Budget",IF(E4&lt;750,"Affordable",IF(E4&lt;900,"Mid-Range",IF(E4&lt;1100,"Premium","Ultra Premium"))))</f>
        <v/>
      </c>
    </row>
    <row r="5" ht="15" customHeight="1" s="17">
      <c r="A5" s="25" t="inlineStr">
        <is>
          <t>Bella Vista</t>
        </is>
      </c>
      <c r="B5" s="26" t="inlineStr">
        <is>
          <t>Bella Vista</t>
        </is>
      </c>
      <c r="C5" s="27" t="n">
        <v>650</v>
      </c>
      <c r="D5" s="27" t="n">
        <v>750</v>
      </c>
      <c r="E5" s="28">
        <f>AVERAGE(C5,D5)</f>
        <v/>
      </c>
      <c r="F5" s="27" t="n">
        <v>800</v>
      </c>
      <c r="G5" s="27" t="n">
        <v>950</v>
      </c>
      <c r="H5" s="28">
        <f>AVERAGE(F5,G5)</f>
        <v/>
      </c>
      <c r="I5" s="26">
        <f>IF(E5&lt;600,"Budget",IF(E5&lt;750,"Affordable",IF(E5&lt;900,"Mid-Range",IF(E5&lt;1100,"Premium","Ultra Premium"))))</f>
        <v/>
      </c>
    </row>
    <row r="6" ht="15" customHeight="1" s="17">
      <c r="A6" s="25" t="inlineStr">
        <is>
          <t>Hills Showground</t>
        </is>
      </c>
      <c r="B6" s="26" t="inlineStr">
        <is>
          <t>Castle Hill</t>
        </is>
      </c>
      <c r="C6" s="27" t="n">
        <v>650</v>
      </c>
      <c r="D6" s="27" t="n">
        <v>750</v>
      </c>
      <c r="E6" s="28">
        <f>AVERAGE(C6,D6)</f>
        <v/>
      </c>
      <c r="F6" s="27" t="n">
        <v>800</v>
      </c>
      <c r="G6" s="27" t="n">
        <v>950</v>
      </c>
      <c r="H6" s="28">
        <f>AVERAGE(F6,G6)</f>
        <v/>
      </c>
      <c r="I6" s="26">
        <f>IF(E6&lt;600,"Budget",IF(E6&lt;750,"Affordable",IF(E6&lt;900,"Mid-Range",IF(E6&lt;1100,"Premium","Ultra Premium"))))</f>
        <v/>
      </c>
    </row>
    <row r="7" ht="15" customHeight="1" s="17">
      <c r="A7" s="25" t="inlineStr">
        <is>
          <t>Castle Hill</t>
        </is>
      </c>
      <c r="B7" s="26" t="inlineStr">
        <is>
          <t>Castle Hill</t>
        </is>
      </c>
      <c r="C7" s="27" t="n">
        <v>680</v>
      </c>
      <c r="D7" s="27" t="n">
        <v>780</v>
      </c>
      <c r="E7" s="28">
        <f>AVERAGE(C7,D7)</f>
        <v/>
      </c>
      <c r="F7" s="27" t="n">
        <v>800</v>
      </c>
      <c r="G7" s="27" t="n">
        <v>950</v>
      </c>
      <c r="H7" s="28">
        <f>AVERAGE(F7,G7)</f>
        <v/>
      </c>
      <c r="I7" s="26">
        <f>IF(E7&lt;600,"Budget",IF(E7&lt;750,"Affordable",IF(E7&lt;900,"Mid-Range",IF(E7&lt;1100,"Premium","Ultra Premium"))))</f>
        <v/>
      </c>
    </row>
    <row r="8" ht="15" customHeight="1" s="17">
      <c r="A8" s="25" t="inlineStr">
        <is>
          <t>Cherrybrook</t>
        </is>
      </c>
      <c r="B8" s="26" t="inlineStr">
        <is>
          <t>Cherrybrook</t>
        </is>
      </c>
      <c r="C8" s="27" t="n">
        <v>700</v>
      </c>
      <c r="D8" s="27" t="n">
        <v>850</v>
      </c>
      <c r="E8" s="28">
        <f>AVERAGE(C8,D8)</f>
        <v/>
      </c>
      <c r="F8" s="27" t="n">
        <v>850</v>
      </c>
      <c r="G8" s="27" t="n">
        <v>1050</v>
      </c>
      <c r="H8" s="28">
        <f>AVERAGE(F8,G8)</f>
        <v/>
      </c>
      <c r="I8" s="26">
        <f>IF(E8&lt;600,"Budget",IF(E8&lt;750,"Affordable",IF(E8&lt;900,"Mid-Range",IF(E8&lt;1100,"Premium","Ultra Premium"))))</f>
        <v/>
      </c>
    </row>
    <row r="9" ht="15" customHeight="1" s="17">
      <c r="A9" s="25" t="inlineStr">
        <is>
          <t>Epping</t>
        </is>
      </c>
      <c r="B9" s="26" t="inlineStr">
        <is>
          <t>Epping</t>
        </is>
      </c>
      <c r="C9" s="27" t="n">
        <v>700</v>
      </c>
      <c r="D9" s="27" t="n">
        <v>800</v>
      </c>
      <c r="E9" s="28">
        <f>AVERAGE(C9,D9)</f>
        <v/>
      </c>
      <c r="F9" s="27" t="n">
        <v>850</v>
      </c>
      <c r="G9" s="27" t="n">
        <v>1000</v>
      </c>
      <c r="H9" s="28">
        <f>AVERAGE(F9,G9)</f>
        <v/>
      </c>
      <c r="I9" s="26">
        <f>IF(E9&lt;600,"Budget",IF(E9&lt;750,"Affordable",IF(E9&lt;900,"Mid-Range",IF(E9&lt;1100,"Premium","Ultra Premium"))))</f>
        <v/>
      </c>
    </row>
    <row r="10" ht="15" customHeight="1" s="17">
      <c r="A10" s="25" t="inlineStr">
        <is>
          <t>Macquarie University</t>
        </is>
      </c>
      <c r="B10" s="26" t="inlineStr">
        <is>
          <t>Macquarie Park</t>
        </is>
      </c>
      <c r="C10" s="27" t="n">
        <v>750</v>
      </c>
      <c r="D10" s="27" t="n">
        <v>850</v>
      </c>
      <c r="E10" s="28">
        <f>AVERAGE(C10,D10)</f>
        <v/>
      </c>
      <c r="F10" s="27" t="n">
        <v>900</v>
      </c>
      <c r="G10" s="27" t="n">
        <v>1050</v>
      </c>
      <c r="H10" s="28">
        <f>AVERAGE(F10,G10)</f>
        <v/>
      </c>
      <c r="I10" s="26">
        <f>IF(E10&lt;600,"Budget",IF(E10&lt;750,"Affordable",IF(E10&lt;900,"Mid-Range",IF(E10&lt;1100,"Premium","Ultra Premium"))))</f>
        <v/>
      </c>
    </row>
    <row r="11" ht="15" customHeight="1" s="17">
      <c r="A11" s="25" t="inlineStr">
        <is>
          <t>Macquarie Park</t>
        </is>
      </c>
      <c r="B11" s="26" t="inlineStr">
        <is>
          <t>Macquarie Park</t>
        </is>
      </c>
      <c r="C11" s="27" t="n">
        <v>750</v>
      </c>
      <c r="D11" s="27" t="n">
        <v>850</v>
      </c>
      <c r="E11" s="28">
        <f>AVERAGE(C11,D11)</f>
        <v/>
      </c>
      <c r="F11" s="27" t="n">
        <v>900</v>
      </c>
      <c r="G11" s="27" t="n">
        <v>1050</v>
      </c>
      <c r="H11" s="28">
        <f>AVERAGE(F11,G11)</f>
        <v/>
      </c>
      <c r="I11" s="26">
        <f>IF(E11&lt;600,"Budget",IF(E11&lt;750,"Affordable",IF(E11&lt;900,"Mid-Range",IF(E11&lt;1100,"Premium","Ultra Premium"))))</f>
        <v/>
      </c>
    </row>
    <row r="12" ht="15" customHeight="1" s="17">
      <c r="A12" s="25" t="inlineStr">
        <is>
          <t>North Ryde</t>
        </is>
      </c>
      <c r="B12" s="26" t="inlineStr">
        <is>
          <t>North Ryde</t>
        </is>
      </c>
      <c r="C12" s="27" t="n">
        <v>720</v>
      </c>
      <c r="D12" s="27" t="n">
        <v>820</v>
      </c>
      <c r="E12" s="28">
        <f>AVERAGE(C12,D12)</f>
        <v/>
      </c>
      <c r="F12" s="27" t="n">
        <v>880</v>
      </c>
      <c r="G12" s="27" t="n">
        <v>1020</v>
      </c>
      <c r="H12" s="28">
        <f>AVERAGE(F12,G12)</f>
        <v/>
      </c>
      <c r="I12" s="26">
        <f>IF(E12&lt;600,"Budget",IF(E12&lt;750,"Affordable",IF(E12&lt;900,"Mid-Range",IF(E12&lt;1100,"Premium","Ultra Premium"))))</f>
        <v/>
      </c>
    </row>
    <row r="13" ht="15" customHeight="1" s="17">
      <c r="A13" s="25" t="inlineStr">
        <is>
          <t>Delhi Road</t>
        </is>
      </c>
      <c r="B13" s="26" t="inlineStr">
        <is>
          <t>North Ryde</t>
        </is>
      </c>
      <c r="C13" s="27" t="n">
        <v>720</v>
      </c>
      <c r="D13" s="27" t="n">
        <v>820</v>
      </c>
      <c r="E13" s="28">
        <f>AVERAGE(C13,D13)</f>
        <v/>
      </c>
      <c r="F13" s="27" t="n">
        <v>880</v>
      </c>
      <c r="G13" s="27" t="n">
        <v>1020</v>
      </c>
      <c r="H13" s="28">
        <f>AVERAGE(F13,G13)</f>
        <v/>
      </c>
      <c r="I13" s="26">
        <f>IF(E13&lt;600,"Budget",IF(E13&lt;750,"Affordable",IF(E13&lt;900,"Mid-Range",IF(E13&lt;1100,"Premium","Ultra Premium"))))</f>
        <v/>
      </c>
    </row>
    <row r="14" ht="15" customHeight="1" s="17">
      <c r="A14" s="25" t="inlineStr">
        <is>
          <t>Chatswood</t>
        </is>
      </c>
      <c r="B14" s="26" t="inlineStr">
        <is>
          <t>Chatswood</t>
        </is>
      </c>
      <c r="C14" s="27" t="n">
        <v>850</v>
      </c>
      <c r="D14" s="27" t="n">
        <v>950</v>
      </c>
      <c r="E14" s="28">
        <f>AVERAGE(C14,D14)</f>
        <v/>
      </c>
      <c r="F14" s="27" t="n">
        <v>1100</v>
      </c>
      <c r="G14" s="27" t="n">
        <v>1300</v>
      </c>
      <c r="H14" s="28">
        <f>AVERAGE(F14,G14)</f>
        <v/>
      </c>
      <c r="I14" s="26">
        <f>IF(E14&lt;600,"Budget",IF(E14&lt;750,"Affordable",IF(E14&lt;900,"Mid-Range",IF(E14&lt;1100,"Premium","Ultra Premium"))))</f>
        <v/>
      </c>
    </row>
    <row r="15" ht="15" customHeight="1" s="17">
      <c r="A15" s="25" t="inlineStr">
        <is>
          <t>Crows Nest</t>
        </is>
      </c>
      <c r="B15" s="26" t="inlineStr">
        <is>
          <t>Crows Nest</t>
        </is>
      </c>
      <c r="C15" s="27" t="n">
        <v>950</v>
      </c>
      <c r="D15" s="27" t="n">
        <v>1050</v>
      </c>
      <c r="E15" s="28">
        <f>AVERAGE(C15,D15)</f>
        <v/>
      </c>
      <c r="F15" s="27" t="n">
        <v>1200</v>
      </c>
      <c r="G15" s="27" t="n">
        <v>1400</v>
      </c>
      <c r="H15" s="28">
        <f>AVERAGE(F15,G15)</f>
        <v/>
      </c>
      <c r="I15" s="26">
        <f>IF(E15&lt;600,"Budget",IF(E15&lt;750,"Affordable",IF(E15&lt;900,"Mid-Range",IF(E15&lt;1100,"Premium","Ultra Premium"))))</f>
        <v/>
      </c>
    </row>
    <row r="16" ht="15" customHeight="1" s="17">
      <c r="A16" s="25" t="inlineStr">
        <is>
          <t>Victoria Cross</t>
        </is>
      </c>
      <c r="B16" s="26" t="inlineStr">
        <is>
          <t>North Sydney</t>
        </is>
      </c>
      <c r="C16" s="27" t="n">
        <v>900</v>
      </c>
      <c r="D16" s="27" t="n">
        <v>1050</v>
      </c>
      <c r="E16" s="28">
        <f>AVERAGE(C16,D16)</f>
        <v/>
      </c>
      <c r="F16" s="27" t="n">
        <v>1200</v>
      </c>
      <c r="G16" s="27" t="n">
        <v>1450</v>
      </c>
      <c r="H16" s="28">
        <f>AVERAGE(F16,G16)</f>
        <v/>
      </c>
      <c r="I16" s="26">
        <f>IF(E16&lt;600,"Budget",IF(E16&lt;750,"Affordable",IF(E16&lt;900,"Mid-Range",IF(E16&lt;1100,"Premium","Ultra Premium"))))</f>
        <v/>
      </c>
    </row>
    <row r="17" ht="15" customHeight="1" s="17">
      <c r="A17" s="25" t="inlineStr">
        <is>
          <t>Barangaroo</t>
        </is>
      </c>
      <c r="B17" s="26" t="inlineStr">
        <is>
          <t>Barangaroo/CBD</t>
        </is>
      </c>
      <c r="C17" s="27" t="n">
        <v>1100</v>
      </c>
      <c r="D17" s="27" t="n">
        <v>1350</v>
      </c>
      <c r="E17" s="28">
        <f>AVERAGE(C17,D17)</f>
        <v/>
      </c>
      <c r="F17" s="27" t="n">
        <v>1500</v>
      </c>
      <c r="G17" s="27" t="n">
        <v>1850</v>
      </c>
      <c r="H17" s="28">
        <f>AVERAGE(F17,G17)</f>
        <v/>
      </c>
      <c r="I17" s="26">
        <f>IF(E17&lt;600,"Budget",IF(E17&lt;750,"Affordable",IF(E17&lt;900,"Mid-Range",IF(E17&lt;1100,"Premium","Ultra Premium"))))</f>
        <v/>
      </c>
    </row>
    <row r="18" ht="15" customHeight="1" s="17">
      <c r="A18" s="25" t="inlineStr">
        <is>
          <t>Martin Place</t>
        </is>
      </c>
      <c r="B18" s="26" t="inlineStr">
        <is>
          <t>Sydney CBD</t>
        </is>
      </c>
      <c r="C18" s="27" t="n">
        <v>1050</v>
      </c>
      <c r="D18" s="27" t="n">
        <v>1300</v>
      </c>
      <c r="E18" s="28">
        <f>AVERAGE(C18,D18)</f>
        <v/>
      </c>
      <c r="F18" s="27" t="n">
        <v>1400</v>
      </c>
      <c r="G18" s="27" t="n">
        <v>1800</v>
      </c>
      <c r="H18" s="28">
        <f>AVERAGE(F18,G18)</f>
        <v/>
      </c>
      <c r="I18" s="26">
        <f>IF(E18&lt;600,"Budget",IF(E18&lt;750,"Affordable",IF(E18&lt;900,"Mid-Range",IF(E18&lt;1100,"Premium","Ultra Premium"))))</f>
        <v/>
      </c>
    </row>
    <row r="19" ht="15" customHeight="1" s="17">
      <c r="A19" s="25" t="inlineStr">
        <is>
          <t>Gadigal</t>
        </is>
      </c>
      <c r="B19" s="26" t="inlineStr">
        <is>
          <t>Surry Hills/CBD</t>
        </is>
      </c>
      <c r="C19" s="27" t="n">
        <v>1000</v>
      </c>
      <c r="D19" s="27" t="n">
        <v>1200</v>
      </c>
      <c r="E19" s="28">
        <f>AVERAGE(C19,D19)</f>
        <v/>
      </c>
      <c r="F19" s="27" t="n">
        <v>1300</v>
      </c>
      <c r="G19" s="27" t="n">
        <v>1600</v>
      </c>
      <c r="H19" s="28">
        <f>AVERAGE(F19,G19)</f>
        <v/>
      </c>
      <c r="I19" s="26">
        <f>IF(E19&lt;600,"Budget",IF(E19&lt;750,"Affordable",IF(E19&lt;900,"Mid-Range",IF(E19&lt;1100,"Premium","Ultra Premium"))))</f>
        <v/>
      </c>
    </row>
    <row r="20" ht="15" customHeight="1" s="17">
      <c r="A20" s="25" t="inlineStr">
        <is>
          <t>Central</t>
        </is>
      </c>
      <c r="B20" s="26" t="inlineStr">
        <is>
          <t>Haymarket/Surry Hills</t>
        </is>
      </c>
      <c r="C20" s="27" t="n">
        <v>900</v>
      </c>
      <c r="D20" s="27" t="n">
        <v>1100</v>
      </c>
      <c r="E20" s="28">
        <f>AVERAGE(C20,D20)</f>
        <v/>
      </c>
      <c r="F20" s="27" t="n">
        <v>1200</v>
      </c>
      <c r="G20" s="27" t="n">
        <v>1500</v>
      </c>
      <c r="H20" s="28">
        <f>AVERAGE(F20,G20)</f>
        <v/>
      </c>
      <c r="I20" s="26">
        <f>IF(E20&lt;600,"Budget",IF(E20&lt;750,"Affordable",IF(E20&lt;900,"Mid-Range",IF(E20&lt;1100,"Premium","Ultra Premium"))))</f>
        <v/>
      </c>
    </row>
    <row r="21" ht="15" customHeight="1" s="17">
      <c r="A21" s="25" t="inlineStr">
        <is>
          <t>Waterloo</t>
        </is>
      </c>
      <c r="B21" s="26" t="inlineStr">
        <is>
          <t>Waterloo</t>
        </is>
      </c>
      <c r="C21" s="27" t="n">
        <v>850</v>
      </c>
      <c r="D21" s="27" t="n">
        <v>1000</v>
      </c>
      <c r="E21" s="28">
        <f>AVERAGE(C21,D21)</f>
        <v/>
      </c>
      <c r="F21" s="27" t="n">
        <v>1100</v>
      </c>
      <c r="G21" s="27" t="n">
        <v>1350</v>
      </c>
      <c r="H21" s="28">
        <f>AVERAGE(F21,G21)</f>
        <v/>
      </c>
      <c r="I21" s="26">
        <f>IF(E21&lt;600,"Budget",IF(E21&lt;750,"Affordable",IF(E21&lt;900,"Mid-Range",IF(E21&lt;1100,"Premium","Ultra Premium"))))</f>
        <v/>
      </c>
    </row>
    <row r="22" ht="15" customHeight="1" s="17">
      <c r="A22" s="25" t="inlineStr">
        <is>
          <t>Sydenham</t>
        </is>
      </c>
      <c r="B22" s="26" t="inlineStr">
        <is>
          <t>Sydenham</t>
        </is>
      </c>
      <c r="C22" s="27" t="n">
        <v>750</v>
      </c>
      <c r="D22" s="27" t="n">
        <v>880</v>
      </c>
      <c r="E22" s="28">
        <f>AVERAGE(C22,D22)</f>
        <v/>
      </c>
      <c r="F22" s="27" t="n">
        <v>950</v>
      </c>
      <c r="G22" s="27" t="n">
        <v>1150</v>
      </c>
      <c r="H22" s="28">
        <f>AVERAGE(F22,G22)</f>
        <v/>
      </c>
      <c r="I22" s="26">
        <f>IF(E22&lt;600,"Budget",IF(E22&lt;750,"Affordable",IF(E22&lt;900,"Mid-Range",IF(E22&lt;1100,"Premium","Ultra Premium"))))</f>
        <v/>
      </c>
    </row>
    <row r="23" ht="15" customHeight="1" s="17">
      <c r="A23" s="25" t="inlineStr">
        <is>
          <t>Marrickville</t>
        </is>
      </c>
      <c r="B23" s="26" t="inlineStr">
        <is>
          <t>Marrickville</t>
        </is>
      </c>
      <c r="C23" s="27" t="n">
        <v>720</v>
      </c>
      <c r="D23" s="27" t="n">
        <v>820</v>
      </c>
      <c r="E23" s="28">
        <f>AVERAGE(C23,D23)</f>
        <v/>
      </c>
      <c r="F23" s="27" t="n">
        <v>900</v>
      </c>
      <c r="G23" s="27" t="n">
        <v>1050</v>
      </c>
      <c r="H23" s="28">
        <f>AVERAGE(F23,G23)</f>
        <v/>
      </c>
      <c r="I23" s="26">
        <f>IF(E23&lt;600,"Budget",IF(E23&lt;750,"Affordable",IF(E23&lt;900,"Mid-Range",IF(E23&lt;1100,"Premium","Ultra Premium"))))</f>
        <v/>
      </c>
    </row>
    <row r="24" ht="15" customHeight="1" s="17">
      <c r="A24" s="25" t="inlineStr">
        <is>
          <t>Dulwich Hill</t>
        </is>
      </c>
      <c r="B24" s="26" t="inlineStr">
        <is>
          <t>Dulwich Hill</t>
        </is>
      </c>
      <c r="C24" s="27" t="n">
        <v>650</v>
      </c>
      <c r="D24" s="27" t="n">
        <v>750</v>
      </c>
      <c r="E24" s="28">
        <f>AVERAGE(C24,D24)</f>
        <v/>
      </c>
      <c r="F24" s="27" t="n">
        <v>800</v>
      </c>
      <c r="G24" s="27" t="n">
        <v>920</v>
      </c>
      <c r="H24" s="28">
        <f>AVERAGE(F24,G24)</f>
        <v/>
      </c>
      <c r="I24" s="26">
        <f>IF(E24&lt;600,"Budget",IF(E24&lt;750,"Affordable",IF(E24&lt;900,"Mid-Range",IF(E24&lt;1100,"Premium","Ultra Premium"))))</f>
        <v/>
      </c>
    </row>
    <row r="25" ht="15" customHeight="1" s="17">
      <c r="A25" s="25" t="inlineStr">
        <is>
          <t>Hurlstone Park</t>
        </is>
      </c>
      <c r="B25" s="26" t="inlineStr">
        <is>
          <t>Hurlstone Park</t>
        </is>
      </c>
      <c r="C25" s="27" t="n">
        <v>620</v>
      </c>
      <c r="D25" s="27" t="n">
        <v>700</v>
      </c>
      <c r="E25" s="28">
        <f>AVERAGE(C25,D25)</f>
        <v/>
      </c>
      <c r="F25" s="27" t="n">
        <v>780</v>
      </c>
      <c r="G25" s="27" t="n">
        <v>900</v>
      </c>
      <c r="H25" s="28">
        <f>AVERAGE(F25,G25)</f>
        <v/>
      </c>
      <c r="I25" s="26">
        <f>IF(E25&lt;600,"Budget",IF(E25&lt;750,"Affordable",IF(E25&lt;900,"Mid-Range",IF(E25&lt;1100,"Premium","Ultra Premium"))))</f>
        <v/>
      </c>
    </row>
    <row r="26" ht="15" customHeight="1" s="17">
      <c r="A26" s="25" t="inlineStr">
        <is>
          <t>Canterbury</t>
        </is>
      </c>
      <c r="B26" s="26" t="inlineStr">
        <is>
          <t>Canterbury</t>
        </is>
      </c>
      <c r="C26" s="27" t="n">
        <v>580</v>
      </c>
      <c r="D26" s="27" t="n">
        <v>680</v>
      </c>
      <c r="E26" s="28">
        <f>AVERAGE(C26,D26)</f>
        <v/>
      </c>
      <c r="F26" s="27" t="n">
        <v>750</v>
      </c>
      <c r="G26" s="27" t="n">
        <v>880</v>
      </c>
      <c r="H26" s="28">
        <f>AVERAGE(F26,G26)</f>
        <v/>
      </c>
      <c r="I26" s="26">
        <f>IF(E26&lt;600,"Budget",IF(E26&lt;750,"Affordable",IF(E26&lt;900,"Mid-Range",IF(E26&lt;1100,"Premium","Ultra Premium"))))</f>
        <v/>
      </c>
    </row>
    <row r="27" ht="15" customHeight="1" s="17">
      <c r="A27" s="25" t="inlineStr">
        <is>
          <t>Campsie</t>
        </is>
      </c>
      <c r="B27" s="26" t="inlineStr">
        <is>
          <t>Campsie</t>
        </is>
      </c>
      <c r="C27" s="27" t="n">
        <v>550</v>
      </c>
      <c r="D27" s="27" t="n">
        <v>650</v>
      </c>
      <c r="E27" s="28">
        <f>AVERAGE(C27,D27)</f>
        <v/>
      </c>
      <c r="F27" s="27" t="n">
        <v>700</v>
      </c>
      <c r="G27" s="27" t="n">
        <v>850</v>
      </c>
      <c r="H27" s="28">
        <f>AVERAGE(F27,G27)</f>
        <v/>
      </c>
      <c r="I27" s="26">
        <f>IF(E27&lt;600,"Budget",IF(E27&lt;750,"Affordable",IF(E27&lt;900,"Mid-Range",IF(E27&lt;1100,"Premium","Ultra Premium"))))</f>
        <v/>
      </c>
    </row>
    <row r="28" ht="15" customHeight="1" s="17">
      <c r="A28" s="25" t="inlineStr">
        <is>
          <t>Belmore</t>
        </is>
      </c>
      <c r="B28" s="26" t="inlineStr">
        <is>
          <t>Belmore</t>
        </is>
      </c>
      <c r="C28" s="27" t="n">
        <v>520</v>
      </c>
      <c r="D28" s="27" t="n">
        <v>620</v>
      </c>
      <c r="E28" s="28">
        <f>AVERAGE(C28,D28)</f>
        <v/>
      </c>
      <c r="F28" s="27" t="n">
        <v>680</v>
      </c>
      <c r="G28" s="27" t="n">
        <v>820</v>
      </c>
      <c r="H28" s="28">
        <f>AVERAGE(F28,G28)</f>
        <v/>
      </c>
      <c r="I28" s="26">
        <f>IF(E28&lt;600,"Budget",IF(E28&lt;750,"Affordable",IF(E28&lt;900,"Mid-Range",IF(E28&lt;1100,"Premium","Ultra Premium"))))</f>
        <v/>
      </c>
    </row>
    <row r="29" ht="15" customHeight="1" s="17">
      <c r="A29" s="25" t="inlineStr">
        <is>
          <t>Lakemba</t>
        </is>
      </c>
      <c r="B29" s="26" t="inlineStr">
        <is>
          <t>Lakemba</t>
        </is>
      </c>
      <c r="C29" s="27" t="n">
        <v>480</v>
      </c>
      <c r="D29" s="27" t="n">
        <v>560</v>
      </c>
      <c r="E29" s="28">
        <f>AVERAGE(C29,D29)</f>
        <v/>
      </c>
      <c r="F29" s="27" t="n">
        <v>620</v>
      </c>
      <c r="G29" s="27" t="n">
        <v>780</v>
      </c>
      <c r="H29" s="28">
        <f>AVERAGE(F29,G29)</f>
        <v/>
      </c>
      <c r="I29" s="26">
        <f>IF(E29&lt;600,"Budget",IF(E29&lt;750,"Affordable",IF(E29&lt;900,"Mid-Range",IF(E29&lt;1100,"Premium","Ultra Premium"))))</f>
        <v/>
      </c>
    </row>
    <row r="30" ht="15" customHeight="1" s="17">
      <c r="A30" s="25" t="inlineStr">
        <is>
          <t>Wiley Park</t>
        </is>
      </c>
      <c r="B30" s="26" t="inlineStr">
        <is>
          <t>Wiley Park</t>
        </is>
      </c>
      <c r="C30" s="27" t="n">
        <v>470</v>
      </c>
      <c r="D30" s="27" t="n">
        <v>550</v>
      </c>
      <c r="E30" s="28">
        <f>AVERAGE(C30,D30)</f>
        <v/>
      </c>
      <c r="F30" s="27" t="n">
        <v>600</v>
      </c>
      <c r="G30" s="27" t="n">
        <v>750</v>
      </c>
      <c r="H30" s="28">
        <f>AVERAGE(F30,G30)</f>
        <v/>
      </c>
      <c r="I30" s="26">
        <f>IF(E30&lt;600,"Budget",IF(E30&lt;750,"Affordable",IF(E30&lt;900,"Mid-Range",IF(E30&lt;1100,"Premium","Ultra Premium"))))</f>
        <v/>
      </c>
    </row>
    <row r="31" ht="15" customHeight="1" s="17">
      <c r="A31" s="25" t="inlineStr">
        <is>
          <t>Punchbowl</t>
        </is>
      </c>
      <c r="B31" s="26" t="inlineStr">
        <is>
          <t>Punchbowl</t>
        </is>
      </c>
      <c r="C31" s="27" t="n">
        <v>480</v>
      </c>
      <c r="D31" s="27" t="n">
        <v>570</v>
      </c>
      <c r="E31" s="28">
        <f>AVERAGE(C31,D31)</f>
        <v/>
      </c>
      <c r="F31" s="27" t="n">
        <v>630</v>
      </c>
      <c r="G31" s="27" t="n">
        <v>790</v>
      </c>
      <c r="H31" s="28">
        <f>AVERAGE(F31,G31)</f>
        <v/>
      </c>
      <c r="I31" s="26">
        <f>IF(E31&lt;600,"Budget",IF(E31&lt;750,"Affordable",IF(E31&lt;900,"Mid-Range",IF(E31&lt;1100,"Premium","Ultra Premium"))))</f>
        <v/>
      </c>
    </row>
    <row r="32" ht="15" customHeight="1" s="17">
      <c r="A32" s="25" t="inlineStr">
        <is>
          <t>Bankstown</t>
        </is>
      </c>
      <c r="B32" s="26" t="inlineStr">
        <is>
          <t>Bankstown</t>
        </is>
      </c>
      <c r="C32" s="27" t="n">
        <v>550</v>
      </c>
      <c r="D32" s="27" t="n">
        <v>650</v>
      </c>
      <c r="E32" s="28">
        <f>AVERAGE(C32,D32)</f>
        <v/>
      </c>
      <c r="F32" s="27" t="n">
        <v>700</v>
      </c>
      <c r="G32" s="27" t="n">
        <v>850</v>
      </c>
      <c r="H32" s="28">
        <f>AVERAGE(F32,G32)</f>
        <v/>
      </c>
      <c r="I32" s="26">
        <f>IF(E32&lt;600,"Budget",IF(E32&lt;750,"Affordable",IF(E32&lt;900,"Mid-Range",IF(E32&lt;1100,"Premium","Ultra Premium"))))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16" min="1" max="1"/>
    <col width="16" customWidth="1" style="16" min="2" max="3"/>
    <col width="55" customWidth="1" style="16" min="4" max="4"/>
    <col width="50" customWidth="1" style="16" min="5" max="5"/>
  </cols>
  <sheetData>
    <row r="1" ht="15" customHeight="1" s="17">
      <c r="A1" s="18" t="inlineStr">
        <is>
          <t>Hospital Name</t>
        </is>
      </c>
      <c r="B1" s="18" t="inlineStr">
        <is>
          <t>Type</t>
        </is>
      </c>
      <c r="C1" s="18" t="inlineStr">
        <is>
          <t>Suburb</t>
        </is>
      </c>
      <c r="D1" s="18" t="inlineStr">
        <is>
          <t>Serves Metro Stations</t>
        </is>
      </c>
      <c r="E1" s="18" t="inlineStr">
        <is>
          <t>Key Services</t>
        </is>
      </c>
    </row>
    <row r="2" ht="23.85" customHeight="1" s="17">
      <c r="A2" s="20" t="inlineStr">
        <is>
          <t>Westmead Hospital</t>
        </is>
      </c>
      <c r="B2" s="19" t="inlineStr">
        <is>
          <t>Major Tertiary</t>
        </is>
      </c>
      <c r="C2" s="19" t="inlineStr">
        <is>
          <t>Westmead</t>
        </is>
      </c>
      <c r="D2" s="19" t="inlineStr">
        <is>
          <t>Tallawong, Rouse Hill, Kellyville, Bella Vista, Castle Hill, Hills Showground</t>
        </is>
      </c>
      <c r="E2" s="19" t="inlineStr">
        <is>
          <t>Full ED, trauma, cardiac, maternity, paediatrics</t>
        </is>
      </c>
    </row>
    <row r="3" ht="15" customHeight="1" s="17">
      <c r="A3" s="20" t="inlineStr">
        <is>
          <t>Hornsby Ku-ring-gai Hospital</t>
        </is>
      </c>
      <c r="B3" s="19" t="inlineStr">
        <is>
          <t>District</t>
        </is>
      </c>
      <c r="C3" s="19" t="inlineStr">
        <is>
          <t>Hornsby</t>
        </is>
      </c>
      <c r="D3" s="19" t="inlineStr">
        <is>
          <t>Cherrybrook</t>
        </is>
      </c>
      <c r="E3" s="19" t="inlineStr">
        <is>
          <t>ED, general surgery, maternity, rehab</t>
        </is>
      </c>
    </row>
    <row r="4" ht="15" customHeight="1" s="17">
      <c r="A4" s="20" t="inlineStr">
        <is>
          <t>Ryde Hospital</t>
        </is>
      </c>
      <c r="B4" s="19" t="inlineStr">
        <is>
          <t>District</t>
        </is>
      </c>
      <c r="C4" s="19" t="inlineStr">
        <is>
          <t>Eastwood</t>
        </is>
      </c>
      <c r="D4" s="19" t="inlineStr">
        <is>
          <t>Epping, Macquarie Uni, Macquarie Park, North Ryde</t>
        </is>
      </c>
      <c r="E4" s="19" t="inlineStr">
        <is>
          <t>ED, general medicine, geriatrics, rehab</t>
        </is>
      </c>
    </row>
    <row r="5" ht="15" customHeight="1" s="17">
      <c r="A5" s="20" t="inlineStr">
        <is>
          <t>Royal North Shore Hospital</t>
        </is>
      </c>
      <c r="B5" s="19" t="inlineStr">
        <is>
          <t>Major Tertiary</t>
        </is>
      </c>
      <c r="C5" s="19" t="inlineStr">
        <is>
          <t>St Leonards</t>
        </is>
      </c>
      <c r="D5" s="19" t="inlineStr">
        <is>
          <t>Delhi Road, Chatswood, Crows Nest, Victoria Cross</t>
        </is>
      </c>
      <c r="E5" s="19" t="inlineStr">
        <is>
          <t>Full ED, major trauma, burns, spinal, neonatal ICU</t>
        </is>
      </c>
    </row>
    <row r="6" ht="15" customHeight="1" s="17">
      <c r="A6" s="20" t="inlineStr">
        <is>
          <t>St Vincents Hospital</t>
        </is>
      </c>
      <c r="B6" s="19" t="inlineStr">
        <is>
          <t>Major Tertiary</t>
        </is>
      </c>
      <c r="C6" s="19" t="inlineStr">
        <is>
          <t>Darlinghurst</t>
        </is>
      </c>
      <c r="D6" s="19" t="inlineStr">
        <is>
          <t>Barangaroo, Martin Place, Gadigal</t>
        </is>
      </c>
      <c r="E6" s="19" t="inlineStr">
        <is>
          <t>Full ED, cardiac, HIV/AIDS, transplant</t>
        </is>
      </c>
    </row>
    <row r="7" ht="15" customHeight="1" s="17">
      <c r="A7" s="20" t="inlineStr">
        <is>
          <t>Royal Prince Alfred Hospital</t>
        </is>
      </c>
      <c r="B7" s="19" t="inlineStr">
        <is>
          <t>Major Tertiary</t>
        </is>
      </c>
      <c r="C7" s="19" t="inlineStr">
        <is>
          <t>Camperdown</t>
        </is>
      </c>
      <c r="D7" s="19" t="inlineStr">
        <is>
          <t>Central, Waterloo, Sydenham, Marrickville</t>
        </is>
      </c>
      <c r="E7" s="19" t="inlineStr">
        <is>
          <t>Full ED, major trauma, transplant, neurosurgery</t>
        </is>
      </c>
    </row>
    <row r="8" ht="23.85" customHeight="1" s="17">
      <c r="A8" s="20" t="inlineStr">
        <is>
          <t>Canterbury Hospital</t>
        </is>
      </c>
      <c r="B8" s="19" t="inlineStr">
        <is>
          <t>District</t>
        </is>
      </c>
      <c r="C8" s="19" t="inlineStr">
        <is>
          <t>Campsie</t>
        </is>
      </c>
      <c r="D8" s="19" t="inlineStr">
        <is>
          <t>Dulwich Hill, Hurlstone Park, Canterbury, Campsie, Belmore, Lakemba</t>
        </is>
      </c>
      <c r="E8" s="19" t="inlineStr">
        <is>
          <t>ED, general surgery, maternity, mental health</t>
        </is>
      </c>
    </row>
    <row r="9" ht="15" customHeight="1" s="17">
      <c r="A9" s="20" t="inlineStr">
        <is>
          <t>Bankstown-Lidcombe Hospital</t>
        </is>
      </c>
      <c r="B9" s="19" t="inlineStr">
        <is>
          <t>District</t>
        </is>
      </c>
      <c r="C9" s="19" t="inlineStr">
        <is>
          <t>Bankstown</t>
        </is>
      </c>
      <c r="D9" s="19" t="inlineStr">
        <is>
          <t>Wiley Park, Punchbowl, Bankstown</t>
        </is>
      </c>
      <c r="E9" s="19" t="inlineStr">
        <is>
          <t>ED, general surgery, maternity, renal dialysis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16" min="1" max="1"/>
    <col width="28" customWidth="1" style="16" min="2" max="5"/>
  </cols>
  <sheetData>
    <row r="1" ht="17.35" customHeight="1" s="17">
      <c r="A1" s="29" t="inlineStr">
        <is>
          <t>Toongabbie vs Metro Stations - Move Comparison</t>
        </is>
      </c>
    </row>
    <row r="3" ht="15" customHeight="1" s="17">
      <c r="A3" s="18" t="inlineStr">
        <is>
          <t>Factor</t>
        </is>
      </c>
      <c r="B3" s="18" t="inlineStr">
        <is>
          <t>Toongabbie (Current)</t>
        </is>
      </c>
      <c r="C3" s="18" t="inlineStr">
        <is>
          <t>Best Budget Metro</t>
        </is>
      </c>
      <c r="D3" s="18" t="inlineStr">
        <is>
          <t>Best Mid-Range Metro</t>
        </is>
      </c>
      <c r="E3" s="18" t="inlineStr">
        <is>
          <t>Best Premium Metro</t>
        </is>
      </c>
    </row>
    <row r="4" ht="15" customHeight="1" s="17">
      <c r="A4" s="20" t="inlineStr">
        <is>
          <t>Transport</t>
        </is>
      </c>
      <c r="B4" s="19" t="inlineStr">
        <is>
          <t>T1 Western Line (train)</t>
        </is>
      </c>
      <c r="C4" s="19" t="inlineStr">
        <is>
          <t>Metro (automated, frequent)</t>
        </is>
      </c>
      <c r="D4" s="19" t="inlineStr">
        <is>
          <t>Metro (automated, frequent)</t>
        </is>
      </c>
      <c r="E4" s="19" t="inlineStr">
        <is>
          <t>Metro (automated, frequent)</t>
        </is>
      </c>
    </row>
    <row r="5" ht="15" customHeight="1" s="17">
      <c r="A5" s="20" t="inlineStr">
        <is>
          <t>Example Station</t>
        </is>
      </c>
      <c r="B5" s="19" t="inlineStr">
        <is>
          <t>-</t>
        </is>
      </c>
      <c r="C5" s="19" t="inlineStr">
        <is>
          <t>Lakemba / Wiley Park</t>
        </is>
      </c>
      <c r="D5" s="19" t="inlineStr">
        <is>
          <t>Epping / Dulwich Hill</t>
        </is>
      </c>
      <c r="E5" s="19" t="inlineStr">
        <is>
          <t>Chatswood / Crows Nest</t>
        </is>
      </c>
    </row>
    <row r="6" ht="15" customHeight="1" s="17">
      <c r="A6" s="20" t="inlineStr">
        <is>
          <t>2BR Rent ($/wk)</t>
        </is>
      </c>
      <c r="B6" s="19" t="inlineStr">
        <is>
          <t>~$450-550</t>
        </is>
      </c>
      <c r="C6" s="19" t="inlineStr">
        <is>
          <t>~$480-560</t>
        </is>
      </c>
      <c r="D6" s="19" t="inlineStr">
        <is>
          <t>~$700-800</t>
        </is>
      </c>
      <c r="E6" s="19" t="inlineStr">
        <is>
          <t>~$900-1,050</t>
        </is>
      </c>
    </row>
    <row r="7" ht="15" customHeight="1" s="17">
      <c r="A7" s="20" t="inlineStr">
        <is>
          <t>3BR Rent ($/wk)</t>
        </is>
      </c>
      <c r="B7" s="19" t="inlineStr">
        <is>
          <t>~$550-680</t>
        </is>
      </c>
      <c r="C7" s="19" t="inlineStr">
        <is>
          <t>~$620-780</t>
        </is>
      </c>
      <c r="D7" s="19" t="inlineStr">
        <is>
          <t>~$850-1,000</t>
        </is>
      </c>
      <c r="E7" s="19" t="inlineStr">
        <is>
          <t>~$1,100-1,400</t>
        </is>
      </c>
    </row>
    <row r="8" ht="23.85" customHeight="1" s="17">
      <c r="A8" s="20" t="inlineStr">
        <is>
          <t>Nearest Public Hospital</t>
        </is>
      </c>
      <c r="B8" s="19" t="inlineStr">
        <is>
          <t>Westmead Hospital (~8km)</t>
        </is>
      </c>
      <c r="C8" s="19" t="inlineStr">
        <is>
          <t>Canterbury / Bankstown-Lidcombe</t>
        </is>
      </c>
      <c r="D8" s="19" t="inlineStr">
        <is>
          <t>Ryde / Canterbury Hospital</t>
        </is>
      </c>
      <c r="E8" s="19" t="inlineStr">
        <is>
          <t>Royal North Shore Hospital</t>
        </is>
      </c>
    </row>
    <row r="9" ht="15" customHeight="1" s="17">
      <c r="A9" s="20" t="inlineStr">
        <is>
          <t>Metro Frequency</t>
        </is>
      </c>
      <c r="B9" s="19" t="inlineStr">
        <is>
          <t>N/A (train every 10-15 min)</t>
        </is>
      </c>
      <c r="C9" s="19" t="inlineStr">
        <is>
          <t>Every 4 min peak</t>
        </is>
      </c>
      <c r="D9" s="19" t="inlineStr">
        <is>
          <t>Every 4 min peak</t>
        </is>
      </c>
      <c r="E9" s="19" t="inlineStr">
        <is>
          <t>Every 4 min peak</t>
        </is>
      </c>
    </row>
    <row r="10" ht="15" customHeight="1" s="17">
      <c r="A10" s="20" t="inlineStr">
        <is>
          <t>CBD Travel Time</t>
        </is>
      </c>
      <c r="B10" s="19" t="inlineStr">
        <is>
          <t>~45-55 min</t>
        </is>
      </c>
      <c r="C10" s="19" t="inlineStr">
        <is>
          <t>~25-35 min</t>
        </is>
      </c>
      <c r="D10" s="19" t="inlineStr">
        <is>
          <t>~15-25 min</t>
        </is>
      </c>
      <c r="E10" s="19" t="inlineStr">
        <is>
          <t>~5-15 min</t>
        </is>
      </c>
    </row>
    <row r="11" ht="15" customHeight="1" s="17">
      <c r="A11" s="20" t="inlineStr">
        <is>
          <t>Lifestyle/Dining</t>
        </is>
      </c>
      <c r="B11" s="19" t="inlineStr">
        <is>
          <t>Basic</t>
        </is>
      </c>
      <c r="C11" s="19" t="inlineStr">
        <is>
          <t>Multicultural, affordable food</t>
        </is>
      </c>
      <c r="D11" s="19" t="inlineStr">
        <is>
          <t>Good mix of options</t>
        </is>
      </c>
      <c r="E11" s="19" t="inlineStr">
        <is>
          <t>Premium, diverse options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16" min="1" max="1"/>
    <col width="60" customWidth="1" style="16" min="2" max="2"/>
    <col width="80" customWidth="1" style="16" min="3" max="3"/>
  </cols>
  <sheetData>
    <row r="1" ht="17.35" customHeight="1" s="17">
      <c r="A1" s="29" t="inlineStr">
        <is>
          <t>Data Sources &amp; Methodology</t>
        </is>
      </c>
    </row>
    <row r="3" ht="15" customHeight="1" s="17">
      <c r="A3" s="30" t="inlineStr">
        <is>
          <t>Data Point</t>
        </is>
      </c>
      <c r="B3" s="30" t="inlineStr">
        <is>
          <t>Source</t>
        </is>
      </c>
      <c r="C3" s="30" t="inlineStr">
        <is>
          <t>Notes</t>
        </is>
      </c>
    </row>
    <row r="4" ht="23.85" customHeight="1" s="17">
      <c r="A4" s="31" t="inlineStr">
        <is>
          <t>Rent estimates</t>
        </is>
      </c>
      <c r="B4" s="31" t="inlineStr">
        <is>
          <t>SydneyMovingGuide.com, YourInvestmentPropertyMag (CoreLogic), RealEstateInvestar, Domain, PropertyValue.com.au</t>
        </is>
      </c>
      <c r="C4" s="31" t="inlineStr">
        <is>
          <t>Median weekly rents, Q3-Q4 2025 data. Ranges reflect market variation.</t>
        </is>
      </c>
    </row>
    <row r="5" ht="15" customHeight="1" s="17">
      <c r="A5" s="31" t="inlineStr">
        <is>
          <t>Hospital locations</t>
        </is>
      </c>
      <c r="B5" s="31" t="inlineStr">
        <is>
          <t>HealthDirect.gov.au, NSW Health</t>
        </is>
      </c>
      <c r="C5" s="31" t="inlineStr">
        <is>
          <t>Nearest major public hospital with Emergency Department</t>
        </is>
      </c>
    </row>
    <row r="6" ht="15" customHeight="1" s="17">
      <c r="A6" s="31" t="inlineStr">
        <is>
          <t>Metro stations</t>
        </is>
      </c>
      <c r="B6" s="31" t="inlineStr">
        <is>
          <t>Sydney Metro (sydneymetro.info), Transport NSW</t>
        </is>
      </c>
      <c r="C6" s="31" t="inlineStr">
        <is>
          <t>As of Feb 2026. Southwest line (Sydenham-Bankstown) expected H2 2026</t>
        </is>
      </c>
    </row>
    <row r="7" ht="15" customHeight="1" s="17">
      <c r="A7" s="31" t="n"/>
      <c r="B7" s="31" t="n"/>
      <c r="C7" s="31" t="n"/>
    </row>
    <row r="8" ht="23.85" customHeight="1" s="17">
      <c r="A8" s="32" t="inlineStr">
        <is>
          <t>IMPORTANT DISCLAIMERS</t>
        </is>
      </c>
      <c r="B8" s="31" t="n"/>
      <c r="C8" s="31" t="n"/>
    </row>
    <row r="9" ht="23.85" customHeight="1" s="17">
      <c r="A9" s="31" t="n"/>
      <c r="B9" s="31" t="n"/>
      <c r="C9" s="31" t="inlineStr">
        <is>
          <t>Rent figures are ESTIMATES based on median data and current listings. Actual rents vary by property condition, floor level, age, and exact location.</t>
        </is>
      </c>
    </row>
    <row r="10" ht="15" customHeight="1" s="17">
      <c r="A10" s="31" t="n"/>
      <c r="B10" s="31" t="n"/>
      <c r="C10" s="31" t="inlineStr">
        <is>
          <t>Hospital distances are approximate. Always verify emergency services for your specific address.</t>
        </is>
      </c>
    </row>
    <row r="11" ht="23.85" customHeight="1" s="17">
      <c r="A11" s="31" t="n"/>
      <c r="B11" s="31" t="n"/>
      <c r="C11" s="31" t="inlineStr">
        <is>
          <t>Southwest line stations (Marrickville to Bankstown) are NOT YET OPEN. Opening expected H2 2026 but subject to further delays.</t>
        </is>
      </c>
    </row>
    <row r="12" ht="23.85" customHeight="1" s="17">
      <c r="A12" s="31" t="n"/>
      <c r="B12" s="31" t="n"/>
      <c r="C12" s="31" t="inlineStr">
        <is>
          <t>Data compiled February 2026. Market conditions change. Verify current rents on Domain.com.au or RealEstate.com.au before making decisions.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2" customWidth="1" style="17" min="1" max="1"/>
    <col width="24" customWidth="1" style="17" min="2" max="2"/>
    <col width="18" customWidth="1" style="17" min="3" max="3"/>
    <col width="30" customWidth="1" style="17" min="4" max="4"/>
    <col width="18" customWidth="1" style="17" min="5" max="5"/>
    <col width="16" customWidth="1" style="17" min="6" max="6"/>
    <col width="55" customWidth="1" style="17" min="7" max="7"/>
  </cols>
  <sheetData>
    <row r="1">
      <c r="A1" s="33" t="inlineStr">
        <is>
          <t>Hospital</t>
        </is>
      </c>
      <c r="B1" s="33" t="inlineStr">
        <is>
          <t>Type</t>
        </is>
      </c>
      <c r="C1" s="33" t="inlineStr">
        <is>
          <t>Location</t>
        </is>
      </c>
      <c r="D1" s="33" t="inlineStr">
        <is>
          <t>Nearest Metro Station(s)</t>
        </is>
      </c>
      <c r="E1" s="33" t="inlineStr">
        <is>
          <t>Drive Time to Metro</t>
        </is>
      </c>
      <c r="F1" s="33" t="inlineStr">
        <is>
          <t>Within 30 min?</t>
        </is>
      </c>
      <c r="G1" s="33" t="inlineStr">
        <is>
          <t>Training Notes</t>
        </is>
      </c>
    </row>
    <row r="2">
      <c r="A2" s="34" t="inlineStr">
        <is>
          <t>Royal North Shore Hospital</t>
        </is>
      </c>
      <c r="B2" s="35" t="inlineStr">
        <is>
          <t>Major Tertiary</t>
        </is>
      </c>
      <c r="C2" s="35" t="inlineStr">
        <is>
          <t>St Leonards</t>
        </is>
      </c>
      <c r="D2" s="35" t="inlineStr">
        <is>
          <t>Crows Nest, Victoria Cross</t>
        </is>
      </c>
      <c r="E2" s="35" t="inlineStr">
        <is>
          <t>~3-5 min</t>
        </is>
      </c>
      <c r="F2" s="36" t="inlineStr">
        <is>
          <t>YES</t>
        </is>
      </c>
      <c r="G2" s="35" t="inlineStr">
        <is>
          <t>Major trauma, burns, spinal. Excellent metro access.</t>
        </is>
      </c>
    </row>
    <row r="3">
      <c r="A3" s="34" t="inlineStr">
        <is>
          <t>St Vincents Hospital</t>
        </is>
      </c>
      <c r="B3" s="35" t="inlineStr">
        <is>
          <t>Major Tertiary</t>
        </is>
      </c>
      <c r="C3" s="35" t="inlineStr">
        <is>
          <t>Darlinghurst</t>
        </is>
      </c>
      <c r="D3" s="35" t="inlineStr">
        <is>
          <t>Gadigal, Martin Place</t>
        </is>
      </c>
      <c r="E3" s="35" t="inlineStr">
        <is>
          <t>~5-8 min</t>
        </is>
      </c>
      <c r="F3" s="36" t="inlineStr">
        <is>
          <t>YES</t>
        </is>
      </c>
      <c r="G3" s="35" t="inlineStr">
        <is>
          <t>Cardiac, transplant, HIV/AIDS. Walking distance from Gadigal.</t>
        </is>
      </c>
    </row>
    <row r="4">
      <c r="A4" s="34" t="inlineStr">
        <is>
          <t>Royal Prince Alfred Hospital</t>
        </is>
      </c>
      <c r="B4" s="35" t="inlineStr">
        <is>
          <t>Major Tertiary</t>
        </is>
      </c>
      <c r="C4" s="35" t="inlineStr">
        <is>
          <t>Camperdown</t>
        </is>
      </c>
      <c r="D4" s="35" t="inlineStr">
        <is>
          <t>Central, Waterloo</t>
        </is>
      </c>
      <c r="E4" s="35" t="inlineStr">
        <is>
          <t>~8-12 min</t>
        </is>
      </c>
      <c r="F4" s="36" t="inlineStr">
        <is>
          <t>YES</t>
        </is>
      </c>
      <c r="G4" s="35" t="inlineStr">
        <is>
          <t>Major trauma, neurosurgery, transplant. Principal USyd teaching hospital.</t>
        </is>
      </c>
    </row>
    <row r="5">
      <c r="A5" s="34" t="inlineStr">
        <is>
          <t>Westmead Hospital</t>
        </is>
      </c>
      <c r="B5" s="35" t="inlineStr">
        <is>
          <t>Major Tertiary (975 beds)</t>
        </is>
      </c>
      <c r="C5" s="35" t="inlineStr">
        <is>
          <t>Westmead</t>
        </is>
      </c>
      <c r="D5" s="35" t="inlineStr">
        <is>
          <t>Tallawong, Rouse Hill</t>
        </is>
      </c>
      <c r="E5" s="35" t="inlineStr">
        <is>
          <t>~20-25 min</t>
        </is>
      </c>
      <c r="F5" s="36" t="inlineStr">
        <is>
          <t>YES</t>
        </is>
      </c>
      <c r="G5" s="35" t="inlineStr">
        <is>
          <t>Largest teaching hospital in West Sydney. Metro West station coming 2032.</t>
        </is>
      </c>
    </row>
    <row r="6">
      <c r="A6" s="34" t="inlineStr">
        <is>
          <t>Liverpool Hospital</t>
        </is>
      </c>
      <c r="B6" s="35" t="inlineStr">
        <is>
          <t>Major Tertiary (855 beds)</t>
        </is>
      </c>
      <c r="C6" s="35" t="inlineStr">
        <is>
          <t>Liverpool</t>
        </is>
      </c>
      <c r="D6" s="35" t="inlineStr">
        <is>
          <t>Bankstown (opening H2 2026)</t>
        </is>
      </c>
      <c r="E6" s="35" t="inlineStr">
        <is>
          <t>~13 min</t>
        </is>
      </c>
      <c r="F6" s="36" t="inlineStr">
        <is>
          <t>YES</t>
        </is>
      </c>
      <c r="G6" s="35" t="inlineStr">
        <is>
          <t>Largest hospital in NSW. Major trauma centre.</t>
        </is>
      </c>
    </row>
    <row r="7">
      <c r="A7" s="34" t="inlineStr">
        <is>
          <t>Prince of Wales Hospital</t>
        </is>
      </c>
      <c r="B7" s="35" t="inlineStr">
        <is>
          <t>Major Tertiary</t>
        </is>
      </c>
      <c r="C7" s="35" t="inlineStr">
        <is>
          <t>Randwick</t>
        </is>
      </c>
      <c r="D7" s="35" t="inlineStr">
        <is>
          <t>Waterloo, Central</t>
        </is>
      </c>
      <c r="E7" s="35" t="inlineStr">
        <is>
          <t>~15-20 min</t>
        </is>
      </c>
      <c r="F7" s="36" t="inlineStr">
        <is>
          <t>YES</t>
        </is>
      </c>
      <c r="G7" s="35" t="inlineStr">
        <is>
          <t>UNSW teaching hospital. Eastern suburbs — no direct metro but driveable.</t>
        </is>
      </c>
    </row>
    <row r="8">
      <c r="A8" s="34" t="inlineStr">
        <is>
          <t>St George Hospital</t>
        </is>
      </c>
      <c r="B8" s="35" t="inlineStr">
        <is>
          <t>Major Tertiary (547 beds)</t>
        </is>
      </c>
      <c r="C8" s="35" t="inlineStr">
        <is>
          <t>Kogarah</t>
        </is>
      </c>
      <c r="D8" s="35" t="inlineStr">
        <is>
          <t>Sydenham</t>
        </is>
      </c>
      <c r="E8" s="35" t="inlineStr">
        <is>
          <t>~12-15 min</t>
        </is>
      </c>
      <c r="F8" s="36" t="inlineStr">
        <is>
          <t>YES</t>
        </is>
      </c>
      <c r="G8" s="35" t="inlineStr">
        <is>
          <t>Southern Sydney. UNSW affiliated. Driveable from metro.</t>
        </is>
      </c>
    </row>
    <row r="9">
      <c r="A9" s="34" t="inlineStr">
        <is>
          <t>Concord Hospital</t>
        </is>
      </c>
      <c r="B9" s="35" t="inlineStr">
        <is>
          <t>Major Tertiary</t>
        </is>
      </c>
      <c r="C9" s="35" t="inlineStr">
        <is>
          <t>Concord</t>
        </is>
      </c>
      <c r="D9" s="35" t="inlineStr">
        <is>
          <t>Sydenham, Central</t>
        </is>
      </c>
      <c r="E9" s="35" t="inlineStr">
        <is>
          <t>~15-18 min</t>
        </is>
      </c>
      <c r="F9" s="36" t="inlineStr">
        <is>
          <t>YES</t>
        </is>
      </c>
      <c r="G9" s="35" t="inlineStr">
        <is>
          <t>Inner West. USyd affiliated. Metro West (2032) will improve access.</t>
        </is>
      </c>
    </row>
    <row r="10">
      <c r="A10" s="34" t="inlineStr">
        <is>
          <t>Canterbury Hospital</t>
        </is>
      </c>
      <c r="B10" s="35" t="inlineStr">
        <is>
          <t>District (217 beds)</t>
        </is>
      </c>
      <c r="C10" s="35" t="inlineStr">
        <is>
          <t>Campsie</t>
        </is>
      </c>
      <c r="D10" s="35" t="inlineStr">
        <is>
          <t>Canterbury (opening H2 2026)</t>
        </is>
      </c>
      <c r="E10" s="35" t="inlineStr">
        <is>
          <t>~2 min / walk</t>
        </is>
      </c>
      <c r="F10" s="36" t="inlineStr">
        <is>
          <t>YES</t>
        </is>
      </c>
      <c r="G10" s="35" t="inlineStr">
        <is>
          <t>Teaching in gen medicine, surgery, paeds. Metro at doorstep when SW opens.</t>
        </is>
      </c>
    </row>
    <row r="11">
      <c r="A11" s="34" t="inlineStr">
        <is>
          <t>Bankstown-Lidcombe Hospital</t>
        </is>
      </c>
      <c r="B11" s="35" t="inlineStr">
        <is>
          <t>District</t>
        </is>
      </c>
      <c r="C11" s="35" t="inlineStr">
        <is>
          <t>Bankstown</t>
        </is>
      </c>
      <c r="D11" s="35" t="inlineStr">
        <is>
          <t>Bankstown (opening H2 2026)</t>
        </is>
      </c>
      <c r="E11" s="35" t="inlineStr">
        <is>
          <t>~8-10 min</t>
        </is>
      </c>
      <c r="F11" s="36" t="inlineStr">
        <is>
          <t>YES</t>
        </is>
      </c>
      <c r="G11" s="35" t="inlineStr">
        <is>
          <t>UNSW affiliated. BPT rotations. Short drive from metro.</t>
        </is>
      </c>
    </row>
    <row r="12">
      <c r="A12" s="34" t="inlineStr">
        <is>
          <t>Blacktown Hospital</t>
        </is>
      </c>
      <c r="B12" s="35" t="inlineStr">
        <is>
          <t>Major District</t>
        </is>
      </c>
      <c r="C12" s="35" t="inlineStr">
        <is>
          <t>Blacktown</t>
        </is>
      </c>
      <c r="D12" s="35" t="inlineStr">
        <is>
          <t>Tallawong, Rouse Hill</t>
        </is>
      </c>
      <c r="E12" s="35" t="inlineStr">
        <is>
          <t>~15-20 min</t>
        </is>
      </c>
      <c r="F12" s="36" t="inlineStr">
        <is>
          <t>YES</t>
        </is>
      </c>
      <c r="G12" s="35" t="inlineStr">
        <is>
          <t>24hr ED, ICU. Surgical training network (WSLHD).</t>
        </is>
      </c>
    </row>
    <row r="13">
      <c r="A13" s="34" t="inlineStr">
        <is>
          <t>Ryde Hospital</t>
        </is>
      </c>
      <c r="B13" s="35" t="inlineStr">
        <is>
          <t>District</t>
        </is>
      </c>
      <c r="C13" s="35" t="inlineStr">
        <is>
          <t>Eastwood</t>
        </is>
      </c>
      <c r="D13" s="35" t="inlineStr">
        <is>
          <t>North Ryde, Macquarie Park, Epping</t>
        </is>
      </c>
      <c r="E13" s="35" t="inlineStr">
        <is>
          <t>~5-8 min</t>
        </is>
      </c>
      <c r="F13" s="36" t="inlineStr">
        <is>
          <t>YES</t>
        </is>
      </c>
      <c r="G13" s="35" t="inlineStr">
        <is>
          <t>Geriatrics, rehab, general medicine. Very close to multiple metro stations.</t>
        </is>
      </c>
    </row>
    <row r="14">
      <c r="A14" s="34" t="inlineStr">
        <is>
          <t>Hornsby Ku-ring-gai Hospital</t>
        </is>
      </c>
      <c r="B14" s="35" t="inlineStr">
        <is>
          <t>District</t>
        </is>
      </c>
      <c r="C14" s="35" t="inlineStr">
        <is>
          <t>Hornsby</t>
        </is>
      </c>
      <c r="D14" s="35" t="inlineStr">
        <is>
          <t>Cherrybrook</t>
        </is>
      </c>
      <c r="E14" s="35" t="inlineStr">
        <is>
          <t>~12-15 min</t>
        </is>
      </c>
      <c r="F14" s="36" t="inlineStr">
        <is>
          <t>YES</t>
        </is>
      </c>
      <c r="G14" s="35" t="inlineStr">
        <is>
          <t>ED, maternity, rehab. Reasonable drive from Cherrybrook metro.</t>
        </is>
      </c>
    </row>
    <row r="15">
      <c r="A15" s="34" t="inlineStr">
        <is>
          <t>Sutherland Hospital</t>
        </is>
      </c>
      <c r="B15" s="35" t="inlineStr">
        <is>
          <t>District</t>
        </is>
      </c>
      <c r="C15" s="35" t="inlineStr">
        <is>
          <t>Caringbah</t>
        </is>
      </c>
      <c r="D15" s="35" t="inlineStr">
        <is>
          <t>Sydenham</t>
        </is>
      </c>
      <c r="E15" s="35" t="inlineStr">
        <is>
          <t>~16 min</t>
        </is>
      </c>
      <c r="F15" s="36" t="inlineStr">
        <is>
          <t>YES</t>
        </is>
      </c>
      <c r="G15" s="35" t="inlineStr">
        <is>
          <t>Southern suburbs. Manageable drive from Sydenham metro.</t>
        </is>
      </c>
    </row>
    <row r="16">
      <c r="A16" s="34" t="inlineStr">
        <is>
          <t>Auburn Hospital</t>
        </is>
      </c>
      <c r="B16" s="35" t="inlineStr">
        <is>
          <t>District</t>
        </is>
      </c>
      <c r="C16" s="35" t="inlineStr">
        <is>
          <t>Auburn</t>
        </is>
      </c>
      <c r="D16" s="35" t="inlineStr">
        <is>
          <t>Bankstown, Sydenham</t>
        </is>
      </c>
      <c r="E16" s="35" t="inlineStr">
        <is>
          <t>~15-20 min</t>
        </is>
      </c>
      <c r="F16" s="36" t="inlineStr">
        <is>
          <t>YES</t>
        </is>
      </c>
      <c r="G16" s="35" t="inlineStr">
        <is>
          <t>Planned surgery, paeds, obstetrics. No direct metro but driveable.</t>
        </is>
      </c>
    </row>
    <row r="17">
      <c r="A17" s="34" t="inlineStr">
        <is>
          <t>Nepean Hospital</t>
        </is>
      </c>
      <c r="B17" s="35" t="inlineStr">
        <is>
          <t>Major Tertiary</t>
        </is>
      </c>
      <c r="C17" s="35" t="inlineStr">
        <is>
          <t>Kingswood/Penrith</t>
        </is>
      </c>
      <c r="D17" s="35" t="inlineStr">
        <is>
          <t>Tallawong</t>
        </is>
      </c>
      <c r="E17" s="35" t="inlineStr">
        <is>
          <t>~30-45 min</t>
        </is>
      </c>
      <c r="F17" s="37" t="inlineStr">
        <is>
          <t>BORDERLINE</t>
        </is>
      </c>
      <c r="G17" s="35" t="inlineStr">
        <is>
          <t>USyd teaching hospital. Far western Sydney — metro access poor in peak traffic. Consider living near T1 Western Line instead.</t>
        </is>
      </c>
    </row>
    <row r="19">
      <c r="A19" s="38" t="inlineStr">
        <is>
          <t>KEY FINDING:</t>
        </is>
      </c>
    </row>
    <row r="20">
      <c r="A20" s="39" t="inlineStr">
        <is>
          <t>Nepean Hospital (Penrith) is the ONLY major Sydney teaching hospital where metro access is borderline (30-45 min drive from Tallawong in peak).</t>
        </is>
      </c>
    </row>
    <row r="21">
      <c r="A21" s="39" t="inlineStr">
        <is>
          <t>If your partner is placed at Nepean, consider living near the T1 Western Line (e.g. Penrith, Kingswood, St Marys) rather than the Metro.</t>
        </is>
      </c>
    </row>
    <row r="22">
      <c r="A22" s="39" t="inlineStr">
        <is>
          <t>Note: Rouse Hill Hospital is under development and will eventually serve the Hills District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2026-02-18T10:38:48Z</dcterms:created>
  <dcterms:modified xmlns:dcterms="http://purl.org/dc/terms/" xmlns:xsi="http://www.w3.org/2001/XMLSchema-instance" xsi:type="dcterms:W3CDTF">2026-02-18T10:45:57Z</dcterms:modified>
  <cp:revision>0</cp:revision>
</cp:coreProperties>
</file>